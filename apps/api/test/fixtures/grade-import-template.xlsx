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 Import" sheetId="1" state="visible" r:id="rId3"/>
    <sheet name="Instructions" sheetId="2" state="visible" r:id="rId4"/>
    <sheet name="Grading Scale" sheetId="3" state="visible" r:id="rId5"/>
    <sheet name="Assessment Weights" sheetId="4" state="visible" r:id="rId6"/>
    <sheet name="Lists" sheetId="5" state="visible" r:id="rId7"/>
    <sheet name="Subject Combinations" sheetId="6" state="visible" r:id="rId8"/>
  </sheets>
  <definedNames>
    <definedName function="false" hidden="false" localSheetId="0" name="_xlnm.Print_Titles" vbProcedure="false">'Grade Import'!$9:$9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9" authorId="0">
      <text>
        <r>
          <rPr>
            <sz val="10"/>
            <rFont val="Arial"/>
            <family val="2"/>
          </rPr>
          <t xml:space="preserve">Individual class assessments: classwork, quizzes, homework (Sem 2 also includes Mid-Sem test). Max 15.</t>
        </r>
      </text>
    </comment>
    <comment ref="H9" authorId="0">
      <text>
        <r>
          <rPr>
            <sz val="10"/>
            <rFont val="Arial"/>
            <family val="2"/>
          </rPr>
          <t xml:space="preserve">Mid-semester examination. Max 15.</t>
        </r>
      </text>
    </comment>
    <comment ref="I9" authorId="0">
      <text>
        <r>
          <rPr>
            <sz val="10"/>
            <rFont val="Arial"/>
            <family val="2"/>
          </rPr>
          <t xml:space="preserve">Practical, portfolio or performance assessment (individual). Max 10.</t>
        </r>
      </text>
    </comment>
    <comment ref="J9" authorId="0">
      <text>
        <r>
          <rPr>
            <sz val="10"/>
            <rFont val="Arial"/>
            <family val="2"/>
          </rPr>
          <t xml:space="preserve">Sem 1: group projects/research/case studies/presentations. Sem 2: individual projects. Out of class. Max 20.</t>
        </r>
      </text>
    </comment>
    <comment ref="K9" authorId="0">
      <text>
        <r>
          <rPr>
            <sz val="10"/>
            <rFont val="Arial"/>
            <family val="2"/>
          </rPr>
          <t xml:space="preserve">Supervised individual end-of-semester assessment. Max 40.</t>
        </r>
      </text>
    </comment>
  </commentList>
</comments>
</file>

<file path=xl/sharedStrings.xml><?xml version="1.0" encoding="utf-8"?>
<sst xmlns="http://schemas.openxmlformats.org/spreadsheetml/2006/main" count="686" uniqueCount="335">
  <si>
    <t xml:space="preserve">SDA SENIOR HIGH SCHOOL, KOFORIDUA — SEMESTER ASSESSMENT SCORE SHEET</t>
  </si>
  <si>
    <t xml:space="preserve">Academic Year</t>
  </si>
  <si>
    <t xml:space="preserve">2026/2027</t>
  </si>
  <si>
    <t xml:space="preserve">Programme</t>
  </si>
  <si>
    <t xml:space="preserve">Business</t>
  </si>
  <si>
    <t xml:space="preserve">Semester</t>
  </si>
  <si>
    <t xml:space="preserve">Semester 1</t>
  </si>
  <si>
    <t xml:space="preserve">Subject</t>
  </si>
  <si>
    <t xml:space="preserve">Accounting</t>
  </si>
  <si>
    <t xml:space="preserve">Class</t>
  </si>
  <si>
    <t xml:space="preserve">2BUS 1A</t>
  </si>
  <si>
    <t xml:space="preserve">Subject Teacher</t>
  </si>
  <si>
    <t xml:space="preserve">Project type this semester:</t>
  </si>
  <si>
    <t xml:space="preserve">Yellow = enter marks already scaled to the weight shown (e.g. Mid Sem out of 15)  ·  Grey = calculated for checking, not imported  ·  Enter 0 if a student has no mark.</t>
  </si>
  <si>
    <t xml:space="preserve">S/N</t>
  </si>
  <si>
    <t xml:space="preserve">Student ID</t>
  </si>
  <si>
    <t xml:space="preserve">BECE Index No.</t>
  </si>
  <si>
    <t xml:space="preserve">Surname</t>
  </si>
  <si>
    <t xml:space="preserve">Other Names</t>
  </si>
  <si>
    <t xml:space="preserve">Gender</t>
  </si>
  <si>
    <t xml:space="preserve">Class Assessment (15)</t>
  </si>
  <si>
    <t xml:space="preserve">Mid Sem (15)</t>
  </si>
  <si>
    <t xml:space="preserve">Practical / Portfolio (10)</t>
  </si>
  <si>
    <t xml:space="preserve">Project Work (20)</t>
  </si>
  <si>
    <t xml:space="preserve">Semester Exam (40)</t>
  </si>
  <si>
    <t xml:space="preserve">Total (100)</t>
  </si>
  <si>
    <t xml:space="preserve">Grade</t>
  </si>
  <si>
    <t xml:space="preserve">Remarks</t>
  </si>
  <si>
    <t xml:space="preserve">SDA/25/0101</t>
  </si>
  <si>
    <t xml:space="preserve">0050401012</t>
  </si>
  <si>
    <t xml:space="preserve">ACHEAMPONG</t>
  </si>
  <si>
    <t xml:space="preserve">Kwabena Yeboah</t>
  </si>
  <si>
    <t xml:space="preserve">M</t>
  </si>
  <si>
    <t xml:space="preserve">SDA/25/0102</t>
  </si>
  <si>
    <t xml:space="preserve">0050402087</t>
  </si>
  <si>
    <t xml:space="preserve">ADDO</t>
  </si>
  <si>
    <t xml:space="preserve">Abena Serwaa</t>
  </si>
  <si>
    <t xml:space="preserve">F</t>
  </si>
  <si>
    <t xml:space="preserve">SDA/25/0103</t>
  </si>
  <si>
    <t xml:space="preserve">0050715034</t>
  </si>
  <si>
    <t xml:space="preserve">AGYEMANG</t>
  </si>
  <si>
    <t xml:space="preserve">Kofi Owusu</t>
  </si>
  <si>
    <t xml:space="preserve">SDA/25/0104</t>
  </si>
  <si>
    <t xml:space="preserve">0050401145</t>
  </si>
  <si>
    <t xml:space="preserve">AMPONSAH</t>
  </si>
  <si>
    <t xml:space="preserve">Akosua Nyarko</t>
  </si>
  <si>
    <t xml:space="preserve">SDA/25/0105</t>
  </si>
  <si>
    <t xml:space="preserve">0051203009</t>
  </si>
  <si>
    <t xml:space="preserve">ANSAH</t>
  </si>
  <si>
    <t xml:space="preserve">Emmanuel Kwame</t>
  </si>
  <si>
    <t xml:space="preserve">SDA/25/0106</t>
  </si>
  <si>
    <t xml:space="preserve">0050401220</t>
  </si>
  <si>
    <t xml:space="preserve">ASANTE</t>
  </si>
  <si>
    <t xml:space="preserve">Gifty Ama</t>
  </si>
  <si>
    <t xml:space="preserve">SDA/25/0107</t>
  </si>
  <si>
    <t xml:space="preserve">0050803061</t>
  </si>
  <si>
    <t xml:space="preserve">BOATENG</t>
  </si>
  <si>
    <t xml:space="preserve">Daniel Kojo</t>
  </si>
  <si>
    <t xml:space="preserve">SDA/25/0108</t>
  </si>
  <si>
    <t xml:space="preserve">0050401307</t>
  </si>
  <si>
    <t xml:space="preserve">DARKO</t>
  </si>
  <si>
    <t xml:space="preserve">Esther Adjoa</t>
  </si>
  <si>
    <t xml:space="preserve">SDA/25/0109</t>
  </si>
  <si>
    <t xml:space="preserve">0050902118</t>
  </si>
  <si>
    <t xml:space="preserve">FRIMPONG</t>
  </si>
  <si>
    <t xml:space="preserve">Samuel Yaw</t>
  </si>
  <si>
    <t xml:space="preserve">SDA/25/0110</t>
  </si>
  <si>
    <t xml:space="preserve">0050401388</t>
  </si>
  <si>
    <t xml:space="preserve">GYAMFI</t>
  </si>
  <si>
    <t xml:space="preserve">Priscilla Efua</t>
  </si>
  <si>
    <t xml:space="preserve">SDA/25/0111</t>
  </si>
  <si>
    <t xml:space="preserve">0050604027</t>
  </si>
  <si>
    <t xml:space="preserve">MENSAH</t>
  </si>
  <si>
    <t xml:space="preserve">Isaac Kwesi</t>
  </si>
  <si>
    <t xml:space="preserve">SDA/25/0112</t>
  </si>
  <si>
    <t xml:space="preserve">0050401412</t>
  </si>
  <si>
    <t xml:space="preserve">NKANSAH</t>
  </si>
  <si>
    <t xml:space="preserve">Comfort Akua</t>
  </si>
  <si>
    <t xml:space="preserve">SDA/25/0113</t>
  </si>
  <si>
    <t xml:space="preserve">0050311076</t>
  </si>
  <si>
    <t xml:space="preserve">OFORI</t>
  </si>
  <si>
    <t xml:space="preserve">Richard Kwaku</t>
  </si>
  <si>
    <t xml:space="preserve">SDA/25/0114</t>
  </si>
  <si>
    <t xml:space="preserve">0050401496</t>
  </si>
  <si>
    <t xml:space="preserve">OPOKU</t>
  </si>
  <si>
    <t xml:space="preserve">Mavis Adwoa</t>
  </si>
  <si>
    <t xml:space="preserve">SDA/25/0115</t>
  </si>
  <si>
    <t xml:space="preserve">0051007053</t>
  </si>
  <si>
    <t xml:space="preserve">OWUSU</t>
  </si>
  <si>
    <t xml:space="preserve">Felix Kofi</t>
  </si>
  <si>
    <t xml:space="preserve">Students</t>
  </si>
  <si>
    <t xml:space="preserve">Class average</t>
  </si>
  <si>
    <t xml:space="preserve">Highest</t>
  </si>
  <si>
    <t xml:space="preserve">Lowest</t>
  </si>
  <si>
    <t xml:space="preserve">Not yet complete</t>
  </si>
  <si>
    <t xml:space="preserve">Passed (40+)</t>
  </si>
  <si>
    <t xml:space="preserve">HOW TO USE THIS SCORE SHEET</t>
  </si>
  <si>
    <t xml:space="preserve">1. One file = one subject, one class, one semester. The academic year has two semesters.</t>
  </si>
  <si>
    <t xml:space="preserve">2. Fill the yellow header cells: Academic Year, Semester, Class, Programme, Subject, Subject Teacher.</t>
  </si>
  <si>
    <t xml:space="preserve">3. The student list (Student ID, BECE Index No., names, gender) is exported from the system's class register. Do not retype, re-sort or edit IDs.</t>
  </si>
  <si>
    <t xml:space="preserve">4. Enter each mark already scaled to its weight:</t>
  </si>
  <si>
    <t xml:space="preserve">      Class Assessment /15  ·  Mid Sem /15  ·  Practical/Portfolio /10  ·  Project Work /20  ·  Semester Exam /40  =  100</t>
  </si>
  <si>
    <t xml:space="preserve">   e.g. if the mid-sem paper was marked out of 50 and a student scored 36, enter 36 ÷ 50 × 15 = 10.8.</t>
  </si>
  <si>
    <t xml:space="preserve">   Check the Subject Combinations tab to confirm the subject is offered by the class.</t>
  </si>
  <si>
    <t xml:space="preserve">5. Project Work: Semester 1 is a GROUP project; Semester 2 is an INDIVIDUAL project (see the Assessment Weights tab).</t>
  </si>
  <si>
    <t xml:space="preserve">6. If a student has no mark for a component — absent, or did not do/submit it — enter 0. Do not type letters such as ABS or leave it blank.</t>
  </si>
  <si>
    <t xml:space="preserve">7. Leave a cell blank only if the mark is not ready yet — the total stays empty until all five marks are in.</t>
  </si>
  <si>
    <t xml:space="preserve">8. Total, Grade and Remarks (grey) are for your checking only. The system recalculates them on import.</t>
  </si>
  <si>
    <t xml:space="preserve">9. Save as .xlsx without renaming the 'Grade Import' sheet, then upload through Grade Entry &gt; Bulk Import.</t>
  </si>
  <si>
    <t xml:space="preserve">WHAT THE SYSTEM CHECKS ON IMPORT</t>
  </si>
  <si>
    <t xml:space="preserve">• Student ID exists and belongs to the class in the header.</t>
  </si>
  <si>
    <t xml:space="preserve">• Subject is offered by that class's programme; Semester is Semester 1 or 2.</t>
  </si>
  <si>
    <t xml:space="preserve">• Each mark is a number within its maximum (15, 15, 10, 20, 40); blanks and text are rejected.</t>
  </si>
  <si>
    <t xml:space="preserve">• No duplicate Student IDs; no existing scores for the same student/subject/semester unless the teacher confirms an overwrite.</t>
  </si>
  <si>
    <t xml:space="preserve">• Rejected rows are listed in an error report with the reason; valid rows are saved.</t>
  </si>
  <si>
    <t xml:space="preserve">Min Score</t>
  </si>
  <si>
    <t xml:space="preserve">Max Score</t>
  </si>
  <si>
    <t xml:space="preserve">Interpretation</t>
  </si>
  <si>
    <t xml:space="preserve">Edit this table if the school uses a different grading scale. Grade and Remarks on the score sheet update automatically.</t>
  </si>
  <si>
    <t xml:space="preserve">F9</t>
  </si>
  <si>
    <t xml:space="preserve">Fail</t>
  </si>
  <si>
    <t xml:space="preserve">E8</t>
  </si>
  <si>
    <t xml:space="preserve">Pass</t>
  </si>
  <si>
    <t xml:space="preserve">D7</t>
  </si>
  <si>
    <t xml:space="preserve">C6</t>
  </si>
  <si>
    <t xml:space="preserve">Credit</t>
  </si>
  <si>
    <t xml:space="preserve">C5</t>
  </si>
  <si>
    <t xml:space="preserve">C4</t>
  </si>
  <si>
    <t xml:space="preserve">B3</t>
  </si>
  <si>
    <t xml:space="preserve">Good</t>
  </si>
  <si>
    <t xml:space="preserve">B2</t>
  </si>
  <si>
    <t xml:space="preserve">Very Good</t>
  </si>
  <si>
    <t xml:space="preserve">A1</t>
  </si>
  <si>
    <t xml:space="preserve">Excellent</t>
  </si>
  <si>
    <t xml:space="preserve">#</t>
  </si>
  <si>
    <t xml:space="preserve">Mode of Assessment — Semester 1</t>
  </si>
  <si>
    <t xml:space="preserve">Mode of Assessment — Semester 2</t>
  </si>
  <si>
    <t xml:space="preserve">Weight (%)</t>
  </si>
  <si>
    <t xml:space="preserve">Individual Class Assessments (Classwork, Quizzes, Homework)</t>
  </si>
  <si>
    <t xml:space="preserve">Individual Class Assessments (Classwork, Quizzes, Mid-Sem Test, Homework)</t>
  </si>
  <si>
    <t xml:space="preserve">Mid Sem</t>
  </si>
  <si>
    <t xml:space="preserve">Practical or Portfolio or Performance Assessment (Individual)</t>
  </si>
  <si>
    <t xml:space="preserve">Group Projects, Research, Case Studies, Practical/Lab Work, Workshops, Performances, Presentations (Out of Class)</t>
  </si>
  <si>
    <t xml:space="preserve">Individual Projects, Research, Case Studies, Practical/Lab Work, Workshops, Performances, Presentations (Out of Class)</t>
  </si>
  <si>
    <t xml:space="preserve">Supervised Individual Semester Assessment</t>
  </si>
  <si>
    <t xml:space="preserve">Total</t>
  </si>
  <si>
    <t xml:space="preserve">Source: 2026/2027 Subject Combination (Sept 2026 edition). Form 2 and 3 class codes follow the Form 1 pattern — check against the actual class list.</t>
  </si>
  <si>
    <t xml:space="preserve">Science</t>
  </si>
  <si>
    <t xml:space="preserve">English Language</t>
  </si>
  <si>
    <t xml:space="preserve">1G/S 1A</t>
  </si>
  <si>
    <t xml:space="preserve">Semester 2</t>
  </si>
  <si>
    <t xml:space="preserve">General Arts</t>
  </si>
  <si>
    <t xml:space="preserve">General Mathematics</t>
  </si>
  <si>
    <t xml:space="preserve">1G/S 1B</t>
  </si>
  <si>
    <t xml:space="preserve">General Science</t>
  </si>
  <si>
    <t xml:space="preserve">1G/S 1C</t>
  </si>
  <si>
    <t xml:space="preserve">Home Economics</t>
  </si>
  <si>
    <t xml:space="preserve">Social Studies</t>
  </si>
  <si>
    <t xml:space="preserve">1G/S 1D</t>
  </si>
  <si>
    <t xml:space="preserve">Languages</t>
  </si>
  <si>
    <t xml:space="preserve">Physical Education &amp; Health (PEH)</t>
  </si>
  <si>
    <t xml:space="preserve">1G/S 1E</t>
  </si>
  <si>
    <t xml:space="preserve">Visual Art</t>
  </si>
  <si>
    <t xml:space="preserve">1G/S 1F</t>
  </si>
  <si>
    <t xml:space="preserve">Additional Mathematics</t>
  </si>
  <si>
    <t xml:space="preserve">1G/S 1G</t>
  </si>
  <si>
    <t xml:space="preserve">Art &amp; Design Foundation</t>
  </si>
  <si>
    <t xml:space="preserve">1G/A 1A</t>
  </si>
  <si>
    <t xml:space="preserve">Art &amp; Design Studio</t>
  </si>
  <si>
    <t xml:space="preserve">1G/A 1B</t>
  </si>
  <si>
    <t xml:space="preserve">Biology</t>
  </si>
  <si>
    <t xml:space="preserve">1G/A 2A</t>
  </si>
  <si>
    <t xml:space="preserve">Business Management</t>
  </si>
  <si>
    <t xml:space="preserve">1G/A 2B</t>
  </si>
  <si>
    <t xml:space="preserve">Chemistry</t>
  </si>
  <si>
    <t xml:space="preserve">1G/A 3A</t>
  </si>
  <si>
    <t xml:space="preserve">Clothing &amp; Textiles</t>
  </si>
  <si>
    <t xml:space="preserve">1G/A 3B</t>
  </si>
  <si>
    <t xml:space="preserve">Computing</t>
  </si>
  <si>
    <t xml:space="preserve">1G/A 4</t>
  </si>
  <si>
    <t xml:space="preserve">Economics</t>
  </si>
  <si>
    <t xml:space="preserve">1BUS 1A</t>
  </si>
  <si>
    <t xml:space="preserve">Foods &amp; Nutrition</t>
  </si>
  <si>
    <t xml:space="preserve">1BUS 1B</t>
  </si>
  <si>
    <t xml:space="preserve">French</t>
  </si>
  <si>
    <t xml:space="preserve">1BUS 2A</t>
  </si>
  <si>
    <t xml:space="preserve">Geography</t>
  </si>
  <si>
    <t xml:space="preserve">1BUS 2B</t>
  </si>
  <si>
    <t xml:space="preserve">Ghanaian Language (Akuapem Twi)</t>
  </si>
  <si>
    <t xml:space="preserve">1BUS 2C</t>
  </si>
  <si>
    <t xml:space="preserve">Government</t>
  </si>
  <si>
    <t xml:space="preserve">1H/E 1A</t>
  </si>
  <si>
    <t xml:space="preserve">History</t>
  </si>
  <si>
    <t xml:space="preserve">1H/E 1B</t>
  </si>
  <si>
    <t xml:space="preserve">ICT</t>
  </si>
  <si>
    <t xml:space="preserve">1H/E 2A</t>
  </si>
  <si>
    <t xml:space="preserve">Literature in English</t>
  </si>
  <si>
    <t xml:space="preserve">1H/E 2B</t>
  </si>
  <si>
    <t xml:space="preserve">Management in Living</t>
  </si>
  <si>
    <t xml:space="preserve">1H/E 2C</t>
  </si>
  <si>
    <t xml:space="preserve">Music</t>
  </si>
  <si>
    <t xml:space="preserve">1H/E 2D</t>
  </si>
  <si>
    <t xml:space="preserve">PEH (Elective)</t>
  </si>
  <si>
    <t xml:space="preserve">1H/E 2E</t>
  </si>
  <si>
    <t xml:space="preserve">Performing Art</t>
  </si>
  <si>
    <t xml:space="preserve">1H/E 3A</t>
  </si>
  <si>
    <t xml:space="preserve">Physics</t>
  </si>
  <si>
    <t xml:space="preserve">1H/E 3B</t>
  </si>
  <si>
    <t xml:space="preserve">Religious Studies</t>
  </si>
  <si>
    <t xml:space="preserve">1H/E 3C</t>
  </si>
  <si>
    <t xml:space="preserve">1L1 1A</t>
  </si>
  <si>
    <t xml:space="preserve">1L1 1B</t>
  </si>
  <si>
    <t xml:space="preserve">1L2 2A</t>
  </si>
  <si>
    <t xml:space="preserve">1L2 2B</t>
  </si>
  <si>
    <t xml:space="preserve">1VIS 1A</t>
  </si>
  <si>
    <t xml:space="preserve">1VIS 1B</t>
  </si>
  <si>
    <t xml:space="preserve">1VIS 1C</t>
  </si>
  <si>
    <t xml:space="preserve">1VIS 2A</t>
  </si>
  <si>
    <t xml:space="preserve">1VIS 2B</t>
  </si>
  <si>
    <t xml:space="preserve">2G/S 1A</t>
  </si>
  <si>
    <t xml:space="preserve">2G/S 1B</t>
  </si>
  <si>
    <t xml:space="preserve">2G/S 1C</t>
  </si>
  <si>
    <t xml:space="preserve">2G/S 1D</t>
  </si>
  <si>
    <t xml:space="preserve">2G/S 1E</t>
  </si>
  <si>
    <t xml:space="preserve">2G/S 1F</t>
  </si>
  <si>
    <t xml:space="preserve">2G/S 1G</t>
  </si>
  <si>
    <t xml:space="preserve">2G/A 1A</t>
  </si>
  <si>
    <t xml:space="preserve">2G/A 1B</t>
  </si>
  <si>
    <t xml:space="preserve">2G/A 2A</t>
  </si>
  <si>
    <t xml:space="preserve">2G/A 2B</t>
  </si>
  <si>
    <t xml:space="preserve">2G/A 3A</t>
  </si>
  <si>
    <t xml:space="preserve">2G/A 3B</t>
  </si>
  <si>
    <t xml:space="preserve">2G/A 4</t>
  </si>
  <si>
    <t xml:space="preserve">2BUS 1B</t>
  </si>
  <si>
    <t xml:space="preserve">2BUS 2A</t>
  </si>
  <si>
    <t xml:space="preserve">2BUS 2B</t>
  </si>
  <si>
    <t xml:space="preserve">2BUS 2C</t>
  </si>
  <si>
    <t xml:space="preserve">2H/E 1A</t>
  </si>
  <si>
    <t xml:space="preserve">2H/E 1B</t>
  </si>
  <si>
    <t xml:space="preserve">2H/E 2A</t>
  </si>
  <si>
    <t xml:space="preserve">2H/E 2B</t>
  </si>
  <si>
    <t xml:space="preserve">2H/E 2C</t>
  </si>
  <si>
    <t xml:space="preserve">2H/E 2D</t>
  </si>
  <si>
    <t xml:space="preserve">2H/E 2E</t>
  </si>
  <si>
    <t xml:space="preserve">2H/E 3A</t>
  </si>
  <si>
    <t xml:space="preserve">2H/E 3B</t>
  </si>
  <si>
    <t xml:space="preserve">2H/E 3C</t>
  </si>
  <si>
    <t xml:space="preserve">2L1 1A</t>
  </si>
  <si>
    <t xml:space="preserve">2L1 1B</t>
  </si>
  <si>
    <t xml:space="preserve">2L2 2A</t>
  </si>
  <si>
    <t xml:space="preserve">2L2 2B</t>
  </si>
  <si>
    <t xml:space="preserve">2VIS 1A</t>
  </si>
  <si>
    <t xml:space="preserve">2VIS 1B</t>
  </si>
  <si>
    <t xml:space="preserve">2VIS 1C</t>
  </si>
  <si>
    <t xml:space="preserve">2VIS 2A</t>
  </si>
  <si>
    <t xml:space="preserve">2VIS 2B</t>
  </si>
  <si>
    <t xml:space="preserve">3G/S 1A</t>
  </si>
  <si>
    <t xml:space="preserve">3G/S 1B</t>
  </si>
  <si>
    <t xml:space="preserve">3G/S 1C</t>
  </si>
  <si>
    <t xml:space="preserve">3G/S 1D</t>
  </si>
  <si>
    <t xml:space="preserve">3G/S 1E</t>
  </si>
  <si>
    <t xml:space="preserve">3G/S 1F</t>
  </si>
  <si>
    <t xml:space="preserve">3G/S 1G</t>
  </si>
  <si>
    <t xml:space="preserve">3G/A 1A</t>
  </si>
  <si>
    <t xml:space="preserve">3G/A 1B</t>
  </si>
  <si>
    <t xml:space="preserve">3G/A 2A</t>
  </si>
  <si>
    <t xml:space="preserve">3G/A 2B</t>
  </si>
  <si>
    <t xml:space="preserve">3G/A 3A</t>
  </si>
  <si>
    <t xml:space="preserve">3G/A 3B</t>
  </si>
  <si>
    <t xml:space="preserve">3G/A 4</t>
  </si>
  <si>
    <t xml:space="preserve">3BUS 1A</t>
  </si>
  <si>
    <t xml:space="preserve">3BUS 1B</t>
  </si>
  <si>
    <t xml:space="preserve">3BUS 2A</t>
  </si>
  <si>
    <t xml:space="preserve">3BUS 2B</t>
  </si>
  <si>
    <t xml:space="preserve">3BUS 2C</t>
  </si>
  <si>
    <t xml:space="preserve">3H/E 1A</t>
  </si>
  <si>
    <t xml:space="preserve">3H/E 1B</t>
  </si>
  <si>
    <t xml:space="preserve">3H/E 2A</t>
  </si>
  <si>
    <t xml:space="preserve">3H/E 2B</t>
  </si>
  <si>
    <t xml:space="preserve">3H/E 2C</t>
  </si>
  <si>
    <t xml:space="preserve">3H/E 2D</t>
  </si>
  <si>
    <t xml:space="preserve">3H/E 2E</t>
  </si>
  <si>
    <t xml:space="preserve">3H/E 3A</t>
  </si>
  <si>
    <t xml:space="preserve">3H/E 3B</t>
  </si>
  <si>
    <t xml:space="preserve">3H/E 3C</t>
  </si>
  <si>
    <t xml:space="preserve">3L1 1A</t>
  </si>
  <si>
    <t xml:space="preserve">3L1 1B</t>
  </si>
  <si>
    <t xml:space="preserve">3L2 2A</t>
  </si>
  <si>
    <t xml:space="preserve">3L2 2B</t>
  </si>
  <si>
    <t xml:space="preserve">3VIS 1A</t>
  </si>
  <si>
    <t xml:space="preserve">3VIS 1B</t>
  </si>
  <si>
    <t xml:space="preserve">3VIS 1C</t>
  </si>
  <si>
    <t xml:space="preserve">3VIS 2A</t>
  </si>
  <si>
    <t xml:space="preserve">3VIS 2B</t>
  </si>
  <si>
    <t xml:space="preserve">SDA SHS, ASOKORE-KOFORIDUA — 2026/2027 SUBJECT COMBINATIONS (Sept 2026 edition)</t>
  </si>
  <si>
    <t xml:space="preserve">Core (all students): English Language, General Mathematics, General Science, Social Studies, Physical Education &amp; Health (PEH). Science students do not offer General Science.</t>
  </si>
  <si>
    <t xml:space="preserve">* Students on this option MUST drop one of the starred subjects before SHS 3.</t>
  </si>
  <si>
    <t xml:space="preserve">Learning Area</t>
  </si>
  <si>
    <t xml:space="preserve">Option</t>
  </si>
  <si>
    <t xml:space="preserve">Class (Form 1)</t>
  </si>
  <si>
    <t xml:space="preserve">Label</t>
  </si>
  <si>
    <t xml:space="preserve">Elective 1</t>
  </si>
  <si>
    <t xml:space="preserve">Elective 2</t>
  </si>
  <si>
    <t xml:space="preserve">Elective 3</t>
  </si>
  <si>
    <t xml:space="preserve">Elective 4</t>
  </si>
  <si>
    <t xml:space="preserve">Elective 5</t>
  </si>
  <si>
    <t xml:space="preserve">Elective 6</t>
  </si>
  <si>
    <t xml:space="preserve">Option 1</t>
  </si>
  <si>
    <t xml:space="preserve">Option 2</t>
  </si>
  <si>
    <t xml:space="preserve">Option 3</t>
  </si>
  <si>
    <t xml:space="preserve">Option 4</t>
  </si>
  <si>
    <t xml:space="preserve">Option 5</t>
  </si>
  <si>
    <t xml:space="preserve">Option 6</t>
  </si>
  <si>
    <t xml:space="preserve">Option 7*</t>
  </si>
  <si>
    <t xml:space="preserve">Geography*</t>
  </si>
  <si>
    <t xml:space="preserve">Computing*</t>
  </si>
  <si>
    <t xml:space="preserve">Arts 1</t>
  </si>
  <si>
    <t xml:space="preserve">Arts 2</t>
  </si>
  <si>
    <t xml:space="preserve">Arts 3</t>
  </si>
  <si>
    <t xml:space="preserve">Option 7</t>
  </si>
  <si>
    <t xml:space="preserve">Arts 4</t>
  </si>
  <si>
    <t xml:space="preserve">Bus 1</t>
  </si>
  <si>
    <t xml:space="preserve">Bus 2</t>
  </si>
  <si>
    <t xml:space="preserve">H/Econs 1</t>
  </si>
  <si>
    <t xml:space="preserve">H/Econs 2</t>
  </si>
  <si>
    <t xml:space="preserve">Option 8</t>
  </si>
  <si>
    <t xml:space="preserve">H/Econs 3</t>
  </si>
  <si>
    <t xml:space="preserve">Option 9*</t>
  </si>
  <si>
    <t xml:space="preserve">Biology*</t>
  </si>
  <si>
    <t xml:space="preserve">Chemistry*</t>
  </si>
  <si>
    <t xml:space="preserve">Option 10*</t>
  </si>
  <si>
    <t xml:space="preserve">Lang 1</t>
  </si>
  <si>
    <t xml:space="preserve">Lang 2</t>
  </si>
  <si>
    <t xml:space="preserve">Visual 1</t>
  </si>
  <si>
    <t xml:space="preserve">Visual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</si>
</sst>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E6B3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2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1E6B30"/>
        <bgColor rgb="FF1F4E78"/>
      </patternFill>
    </fill>
    <fill>
      <patternFill patternType="solid">
        <fgColor rgb="FFF2F2F2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1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/>
      <c r="C3" s="2"/>
      <c r="D3" s="3" t="s">
        <v>2</v>
      </c>
      <c r="E3" s="3"/>
      <c r="F3" s="3"/>
      <c r="H3" s="2" t="s">
        <v>3</v>
      </c>
      <c r="I3" s="2"/>
      <c r="J3" s="3" t="s">
        <v>4</v>
      </c>
      <c r="K3" s="3"/>
      <c r="L3" s="3"/>
      <c r="M3" s="3"/>
    </row>
    <row r="4" customFormat="false" ht="15" hidden="false" customHeight="false" outlineLevel="0" collapsed="false">
      <c r="A4" s="2" t="s">
        <v>5</v>
      </c>
      <c r="B4" s="2"/>
      <c r="C4" s="2"/>
      <c r="D4" s="3" t="s">
        <v>6</v>
      </c>
      <c r="E4" s="3"/>
      <c r="F4" s="3"/>
      <c r="H4" s="2" t="s">
        <v>7</v>
      </c>
      <c r="I4" s="2"/>
      <c r="J4" s="3" t="s">
        <v>8</v>
      </c>
      <c r="K4" s="3"/>
      <c r="L4" s="3"/>
      <c r="M4" s="3"/>
    </row>
    <row r="5" customFormat="false" ht="15" hidden="false" customHeight="false" outlineLevel="0" collapsed="false">
      <c r="A5" s="2" t="s">
        <v>9</v>
      </c>
      <c r="B5" s="2"/>
      <c r="C5" s="2"/>
      <c r="D5" s="3" t="s">
        <v>10</v>
      </c>
      <c r="E5" s="3"/>
      <c r="F5" s="3"/>
      <c r="H5" s="2" t="s">
        <v>11</v>
      </c>
      <c r="I5" s="2"/>
      <c r="J5" s="3"/>
      <c r="K5" s="3"/>
      <c r="L5" s="3"/>
      <c r="M5" s="3"/>
    </row>
    <row r="6" customFormat="false" ht="15" hidden="false" customHeight="false" outlineLevel="0" collapsed="false">
      <c r="A6" s="4" t="s">
        <v>12</v>
      </c>
      <c r="B6" s="4"/>
      <c r="C6" s="4"/>
      <c r="D6" s="5" t="str">
        <f aca="false">IF(D4="Semester 1","GROUP project / research (out of class)",IF(D4="Semester 2","INDIVIDUAL project / research (out of class)",""))</f>
        <v>GROUP project / research (out of class)</v>
      </c>
      <c r="E6" s="5"/>
      <c r="F6" s="5"/>
      <c r="G6" s="5"/>
      <c r="H6" s="5"/>
      <c r="I6" s="5"/>
    </row>
    <row r="7" customFormat="false" ht="15" hidden="false" customHeight="false" outlineLevel="0" collapsed="false">
      <c r="A7" s="6" t="s">
        <v>13</v>
      </c>
    </row>
    <row r="9" customFormat="false" ht="43.5" hidden="false" customHeight="true" outlineLevel="0" collapsed="false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  <c r="G9" s="7" t="s">
        <v>20</v>
      </c>
      <c r="H9" s="7" t="s">
        <v>21</v>
      </c>
      <c r="I9" s="7" t="s">
        <v>22</v>
      </c>
      <c r="J9" s="7" t="s">
        <v>23</v>
      </c>
      <c r="K9" s="7" t="s">
        <v>24</v>
      </c>
      <c r="L9" s="7" t="s">
        <v>25</v>
      </c>
      <c r="M9" s="7" t="s">
        <v>26</v>
      </c>
      <c r="N9" s="7" t="s">
        <v>27</v>
      </c>
    </row>
    <row r="10" customFormat="false" ht="15" hidden="false" customHeight="false" outlineLevel="0" collapsed="false">
      <c r="A10" s="8" t="n">
        <v>1</v>
      </c>
      <c r="B10" s="9" t="s">
        <v>28</v>
      </c>
      <c r="C10" s="9" t="s">
        <v>29</v>
      </c>
      <c r="D10" s="10" t="s">
        <v>30</v>
      </c>
      <c r="E10" s="10" t="s">
        <v>31</v>
      </c>
      <c r="F10" s="8" t="s">
        <v>32</v>
      </c>
      <c r="G10" s="11" t="n">
        <v>12</v>
      </c>
      <c r="H10" s="11" t="n">
        <v>11</v>
      </c>
      <c r="I10" s="11" t="n">
        <v>8</v>
      </c>
      <c r="J10" s="11" t="n">
        <v>16</v>
      </c>
      <c r="K10" s="11" t="n">
        <v>30</v>
      </c>
      <c r="L10" s="12" t="n">
        <f aca="false">IF(COUNTBLANK(G10:K10)&gt;0,"",SUM(G10:K10))</f>
        <v>77</v>
      </c>
      <c r="M10" s="13" t="str">
        <f aca="false">IF(L10="","",VLOOKUP(L10,'Grading Scale'!$A$2:$C$10,3,TRUE()))</f>
        <v>B2</v>
      </c>
      <c r="N10" s="12" t="str">
        <f aca="false">IF(L10="","",VLOOKUP(L10,'Grading Scale'!$A$2:$D$10,4,TRUE()))</f>
        <v>Very Good</v>
      </c>
    </row>
    <row r="11" customFormat="false" ht="15" hidden="false" customHeight="false" outlineLevel="0" collapsed="false">
      <c r="A11" s="8" t="n">
        <v>2</v>
      </c>
      <c r="B11" s="9" t="s">
        <v>33</v>
      </c>
      <c r="C11" s="9" t="s">
        <v>34</v>
      </c>
      <c r="D11" s="10" t="s">
        <v>35</v>
      </c>
      <c r="E11" s="10" t="s">
        <v>36</v>
      </c>
      <c r="F11" s="8" t="s">
        <v>37</v>
      </c>
      <c r="G11" s="11" t="n">
        <v>14</v>
      </c>
      <c r="H11" s="11" t="n">
        <v>13</v>
      </c>
      <c r="I11" s="11" t="n">
        <v>9</v>
      </c>
      <c r="J11" s="11" t="n">
        <v>18</v>
      </c>
      <c r="K11" s="11" t="n">
        <v>35</v>
      </c>
      <c r="L11" s="12" t="n">
        <f aca="false">IF(COUNTBLANK(G11:K11)&gt;0,"",SUM(G11:K11))</f>
        <v>89</v>
      </c>
      <c r="M11" s="13" t="str">
        <f aca="false">IF(L11="","",VLOOKUP(L11,'Grading Scale'!$A$2:$C$10,3,TRUE()))</f>
        <v>A1</v>
      </c>
      <c r="N11" s="12" t="str">
        <f aca="false">IF(L11="","",VLOOKUP(L11,'Grading Scale'!$A$2:$D$10,4,TRUE()))</f>
        <v>Excellent</v>
      </c>
    </row>
    <row r="12" customFormat="false" ht="15" hidden="false" customHeight="false" outlineLevel="0" collapsed="false">
      <c r="A12" s="8" t="n">
        <v>3</v>
      </c>
      <c r="B12" s="9" t="s">
        <v>38</v>
      </c>
      <c r="C12" s="9" t="s">
        <v>39</v>
      </c>
      <c r="D12" s="10" t="s">
        <v>40</v>
      </c>
      <c r="E12" s="10" t="s">
        <v>41</v>
      </c>
      <c r="F12" s="8" t="s">
        <v>32</v>
      </c>
      <c r="G12" s="11" t="n">
        <v>9</v>
      </c>
      <c r="H12" s="11" t="n">
        <v>8</v>
      </c>
      <c r="I12" s="11" t="n">
        <v>6</v>
      </c>
      <c r="J12" s="11" t="n">
        <v>13</v>
      </c>
      <c r="K12" s="11" t="n">
        <v>21</v>
      </c>
      <c r="L12" s="12" t="n">
        <f aca="false">IF(COUNTBLANK(G12:K12)&gt;0,"",SUM(G12:K12))</f>
        <v>57</v>
      </c>
      <c r="M12" s="13" t="str">
        <f aca="false">IF(L12="","",VLOOKUP(L12,'Grading Scale'!$A$2:$C$10,3,TRUE()))</f>
        <v>C5</v>
      </c>
      <c r="N12" s="12" t="str">
        <f aca="false">IF(L12="","",VLOOKUP(L12,'Grading Scale'!$A$2:$D$10,4,TRUE()))</f>
        <v>Credit</v>
      </c>
    </row>
    <row r="13" customFormat="false" ht="15" hidden="false" customHeight="false" outlineLevel="0" collapsed="false">
      <c r="A13" s="8" t="n">
        <v>4</v>
      </c>
      <c r="B13" s="9" t="s">
        <v>42</v>
      </c>
      <c r="C13" s="9" t="s">
        <v>43</v>
      </c>
      <c r="D13" s="10" t="s">
        <v>44</v>
      </c>
      <c r="E13" s="10" t="s">
        <v>45</v>
      </c>
      <c r="F13" s="8" t="s">
        <v>37</v>
      </c>
      <c r="G13" s="11" t="n">
        <v>11</v>
      </c>
      <c r="H13" s="11" t="n">
        <v>10</v>
      </c>
      <c r="I13" s="11" t="n">
        <v>7</v>
      </c>
      <c r="J13" s="11" t="n">
        <v>15</v>
      </c>
      <c r="K13" s="11" t="n">
        <v>27</v>
      </c>
      <c r="L13" s="12" t="n">
        <f aca="false">IF(COUNTBLANK(G13:K13)&gt;0,"",SUM(G13:K13))</f>
        <v>70</v>
      </c>
      <c r="M13" s="13" t="str">
        <f aca="false">IF(L13="","",VLOOKUP(L13,'Grading Scale'!$A$2:$C$10,3,TRUE()))</f>
        <v>B2</v>
      </c>
      <c r="N13" s="12" t="str">
        <f aca="false">IF(L13="","",VLOOKUP(L13,'Grading Scale'!$A$2:$D$10,4,TRUE()))</f>
        <v>Very Good</v>
      </c>
    </row>
    <row r="14" customFormat="false" ht="15" hidden="false" customHeight="false" outlineLevel="0" collapsed="false">
      <c r="A14" s="8" t="n">
        <v>5</v>
      </c>
      <c r="B14" s="9" t="s">
        <v>46</v>
      </c>
      <c r="C14" s="9" t="s">
        <v>47</v>
      </c>
      <c r="D14" s="10" t="s">
        <v>48</v>
      </c>
      <c r="E14" s="10" t="s">
        <v>49</v>
      </c>
      <c r="F14" s="8" t="s">
        <v>32</v>
      </c>
      <c r="G14" s="11" t="n">
        <v>13</v>
      </c>
      <c r="H14" s="11" t="n">
        <v>14</v>
      </c>
      <c r="I14" s="11" t="n">
        <v>9</v>
      </c>
      <c r="J14" s="11" t="n">
        <v>17</v>
      </c>
      <c r="K14" s="11" t="n">
        <v>36</v>
      </c>
      <c r="L14" s="12" t="n">
        <f aca="false">IF(COUNTBLANK(G14:K14)&gt;0,"",SUM(G14:K14))</f>
        <v>89</v>
      </c>
      <c r="M14" s="13" t="str">
        <f aca="false">IF(L14="","",VLOOKUP(L14,'Grading Scale'!$A$2:$C$10,3,TRUE()))</f>
        <v>A1</v>
      </c>
      <c r="N14" s="12" t="str">
        <f aca="false">IF(L14="","",VLOOKUP(L14,'Grading Scale'!$A$2:$D$10,4,TRUE()))</f>
        <v>Excellent</v>
      </c>
    </row>
    <row r="15" customFormat="false" ht="15" hidden="false" customHeight="false" outlineLevel="0" collapsed="false">
      <c r="A15" s="8" t="n">
        <v>6</v>
      </c>
      <c r="B15" s="9" t="s">
        <v>50</v>
      </c>
      <c r="C15" s="9" t="s">
        <v>51</v>
      </c>
      <c r="D15" s="10" t="s">
        <v>52</v>
      </c>
      <c r="E15" s="10" t="s">
        <v>53</v>
      </c>
      <c r="F15" s="8" t="s">
        <v>37</v>
      </c>
      <c r="G15" s="11" t="n">
        <v>7</v>
      </c>
      <c r="H15" s="11" t="n">
        <v>6</v>
      </c>
      <c r="I15" s="11" t="n">
        <v>5</v>
      </c>
      <c r="J15" s="11" t="n">
        <v>12</v>
      </c>
      <c r="K15" s="11" t="n">
        <v>15</v>
      </c>
      <c r="L15" s="12" t="n">
        <f aca="false">IF(COUNTBLANK(G15:K15)&gt;0,"",SUM(G15:K15))</f>
        <v>45</v>
      </c>
      <c r="M15" s="13" t="str">
        <f aca="false">IF(L15="","",VLOOKUP(L15,'Grading Scale'!$A$2:$C$10,3,TRUE()))</f>
        <v>D7</v>
      </c>
      <c r="N15" s="12" t="str">
        <f aca="false">IF(L15="","",VLOOKUP(L15,'Grading Scale'!$A$2:$D$10,4,TRUE()))</f>
        <v>Pass</v>
      </c>
    </row>
    <row r="16" customFormat="false" ht="15" hidden="false" customHeight="false" outlineLevel="0" collapsed="false">
      <c r="A16" s="8" t="n">
        <v>7</v>
      </c>
      <c r="B16" s="9" t="s">
        <v>54</v>
      </c>
      <c r="C16" s="9" t="s">
        <v>55</v>
      </c>
      <c r="D16" s="10" t="s">
        <v>56</v>
      </c>
      <c r="E16" s="10" t="s">
        <v>57</v>
      </c>
      <c r="F16" s="8" t="s">
        <v>32</v>
      </c>
      <c r="G16" s="11" t="n">
        <v>10</v>
      </c>
      <c r="H16" s="11" t="n">
        <v>9</v>
      </c>
      <c r="I16" s="11" t="n">
        <v>7</v>
      </c>
      <c r="J16" s="11" t="n">
        <v>14</v>
      </c>
      <c r="K16" s="11" t="n">
        <v>24</v>
      </c>
      <c r="L16" s="12" t="n">
        <f aca="false">IF(COUNTBLANK(G16:K16)&gt;0,"",SUM(G16:K16))</f>
        <v>64</v>
      </c>
      <c r="M16" s="13" t="str">
        <f aca="false">IF(L16="","",VLOOKUP(L16,'Grading Scale'!$A$2:$C$10,3,TRUE()))</f>
        <v>C4</v>
      </c>
      <c r="N16" s="12" t="str">
        <f aca="false">IF(L16="","",VLOOKUP(L16,'Grading Scale'!$A$2:$D$10,4,TRUE()))</f>
        <v>Credit</v>
      </c>
    </row>
    <row r="17" customFormat="false" ht="15" hidden="false" customHeight="false" outlineLevel="0" collapsed="false">
      <c r="A17" s="8" t="n">
        <v>8</v>
      </c>
      <c r="B17" s="9" t="s">
        <v>58</v>
      </c>
      <c r="C17" s="9" t="s">
        <v>59</v>
      </c>
      <c r="D17" s="10" t="s">
        <v>60</v>
      </c>
      <c r="E17" s="10" t="s">
        <v>61</v>
      </c>
      <c r="F17" s="8" t="s">
        <v>37</v>
      </c>
      <c r="G17" s="11" t="n">
        <v>12</v>
      </c>
      <c r="H17" s="11" t="n">
        <v>12</v>
      </c>
      <c r="I17" s="11" t="n">
        <v>8</v>
      </c>
      <c r="J17" s="11" t="n">
        <v>16</v>
      </c>
      <c r="K17" s="11" t="n">
        <v>29</v>
      </c>
      <c r="L17" s="12" t="n">
        <f aca="false">IF(COUNTBLANK(G17:K17)&gt;0,"",SUM(G17:K17))</f>
        <v>77</v>
      </c>
      <c r="M17" s="13" t="str">
        <f aca="false">IF(L17="","",VLOOKUP(L17,'Grading Scale'!$A$2:$C$10,3,TRUE()))</f>
        <v>B2</v>
      </c>
      <c r="N17" s="12" t="str">
        <f aca="false">IF(L17="","",VLOOKUP(L17,'Grading Scale'!$A$2:$D$10,4,TRUE()))</f>
        <v>Very Good</v>
      </c>
    </row>
    <row r="18" customFormat="false" ht="15" hidden="false" customHeight="false" outlineLevel="0" collapsed="false">
      <c r="A18" s="8" t="n">
        <v>9</v>
      </c>
      <c r="B18" s="9" t="s">
        <v>62</v>
      </c>
      <c r="C18" s="9" t="s">
        <v>63</v>
      </c>
      <c r="D18" s="10" t="s">
        <v>64</v>
      </c>
      <c r="E18" s="10" t="s">
        <v>65</v>
      </c>
      <c r="F18" s="8" t="s">
        <v>32</v>
      </c>
      <c r="G18" s="11" t="n">
        <v>8</v>
      </c>
      <c r="H18" s="11" t="n">
        <v>0</v>
      </c>
      <c r="I18" s="11" t="n">
        <v>6</v>
      </c>
      <c r="J18" s="11" t="n">
        <v>13</v>
      </c>
      <c r="K18" s="11" t="n">
        <v>19</v>
      </c>
      <c r="L18" s="12" t="n">
        <f aca="false">IF(COUNTBLANK(G18:K18)&gt;0,"",SUM(G18:K18))</f>
        <v>46</v>
      </c>
      <c r="M18" s="13" t="str">
        <f aca="false">IF(L18="","",VLOOKUP(L18,'Grading Scale'!$A$2:$C$10,3,TRUE()))</f>
        <v>D7</v>
      </c>
      <c r="N18" s="12" t="str">
        <f aca="false">IF(L18="","",VLOOKUP(L18,'Grading Scale'!$A$2:$D$10,4,TRUE()))</f>
        <v>Pass</v>
      </c>
    </row>
    <row r="19" customFormat="false" ht="15" hidden="false" customHeight="false" outlineLevel="0" collapsed="false">
      <c r="A19" s="8" t="n">
        <v>10</v>
      </c>
      <c r="B19" s="9" t="s">
        <v>66</v>
      </c>
      <c r="C19" s="9" t="s">
        <v>67</v>
      </c>
      <c r="D19" s="10" t="s">
        <v>68</v>
      </c>
      <c r="E19" s="10" t="s">
        <v>69</v>
      </c>
      <c r="F19" s="8" t="s">
        <v>37</v>
      </c>
      <c r="G19" s="11" t="n">
        <v>13</v>
      </c>
      <c r="H19" s="11" t="n">
        <v>12</v>
      </c>
      <c r="I19" s="11" t="n">
        <v>8</v>
      </c>
      <c r="J19" s="11" t="n">
        <v>17</v>
      </c>
      <c r="K19" s="11" t="n">
        <v>31</v>
      </c>
      <c r="L19" s="12" t="n">
        <f aca="false">IF(COUNTBLANK(G19:K19)&gt;0,"",SUM(G19:K19))</f>
        <v>81</v>
      </c>
      <c r="M19" s="13" t="str">
        <f aca="false">IF(L19="","",VLOOKUP(L19,'Grading Scale'!$A$2:$C$10,3,TRUE()))</f>
        <v>A1</v>
      </c>
      <c r="N19" s="12" t="str">
        <f aca="false">IF(L19="","",VLOOKUP(L19,'Grading Scale'!$A$2:$D$10,4,TRUE()))</f>
        <v>Excellent</v>
      </c>
    </row>
    <row r="20" customFormat="false" ht="15" hidden="false" customHeight="false" outlineLevel="0" collapsed="false">
      <c r="A20" s="8" t="n">
        <v>11</v>
      </c>
      <c r="B20" s="9" t="s">
        <v>70</v>
      </c>
      <c r="C20" s="9" t="s">
        <v>71</v>
      </c>
      <c r="D20" s="10" t="s">
        <v>72</v>
      </c>
      <c r="E20" s="10" t="s">
        <v>73</v>
      </c>
      <c r="F20" s="8" t="s">
        <v>32</v>
      </c>
      <c r="G20" s="11" t="n">
        <v>11</v>
      </c>
      <c r="H20" s="11" t="n">
        <v>9</v>
      </c>
      <c r="I20" s="11" t="n">
        <v>7</v>
      </c>
      <c r="J20" s="11" t="n">
        <v>15</v>
      </c>
      <c r="K20" s="11" t="n">
        <v>25</v>
      </c>
      <c r="L20" s="12" t="n">
        <f aca="false">IF(COUNTBLANK(G20:K20)&gt;0,"",SUM(G20:K20))</f>
        <v>67</v>
      </c>
      <c r="M20" s="13" t="str">
        <f aca="false">IF(L20="","",VLOOKUP(L20,'Grading Scale'!$A$2:$C$10,3,TRUE()))</f>
        <v>B3</v>
      </c>
      <c r="N20" s="12" t="str">
        <f aca="false">IF(L20="","",VLOOKUP(L20,'Grading Scale'!$A$2:$D$10,4,TRUE()))</f>
        <v>Good</v>
      </c>
    </row>
    <row r="21" customFormat="false" ht="15" hidden="false" customHeight="false" outlineLevel="0" collapsed="false">
      <c r="A21" s="8" t="n">
        <v>12</v>
      </c>
      <c r="B21" s="9" t="s">
        <v>74</v>
      </c>
      <c r="C21" s="9" t="s">
        <v>75</v>
      </c>
      <c r="D21" s="10" t="s">
        <v>76</v>
      </c>
      <c r="E21" s="10" t="s">
        <v>77</v>
      </c>
      <c r="F21" s="8" t="s">
        <v>37</v>
      </c>
      <c r="G21" s="11" t="n">
        <v>10</v>
      </c>
      <c r="H21" s="11" t="n">
        <v>10</v>
      </c>
      <c r="I21" s="11" t="n">
        <v>7</v>
      </c>
      <c r="J21" s="11" t="n">
        <v>14</v>
      </c>
      <c r="K21" s="11" t="n">
        <v>22</v>
      </c>
      <c r="L21" s="12" t="n">
        <f aca="false">IF(COUNTBLANK(G21:K21)&gt;0,"",SUM(G21:K21))</f>
        <v>63</v>
      </c>
      <c r="M21" s="13" t="str">
        <f aca="false">IF(L21="","",VLOOKUP(L21,'Grading Scale'!$A$2:$C$10,3,TRUE()))</f>
        <v>C4</v>
      </c>
      <c r="N21" s="12" t="str">
        <f aca="false">IF(L21="","",VLOOKUP(L21,'Grading Scale'!$A$2:$D$10,4,TRUE()))</f>
        <v>Credit</v>
      </c>
    </row>
    <row r="22" customFormat="false" ht="15" hidden="false" customHeight="false" outlineLevel="0" collapsed="false">
      <c r="A22" s="8" t="n">
        <v>13</v>
      </c>
      <c r="B22" s="9" t="s">
        <v>78</v>
      </c>
      <c r="C22" s="9" t="s">
        <v>79</v>
      </c>
      <c r="D22" s="10" t="s">
        <v>80</v>
      </c>
      <c r="E22" s="10" t="s">
        <v>81</v>
      </c>
      <c r="F22" s="8" t="s">
        <v>32</v>
      </c>
      <c r="G22" s="11" t="n">
        <v>14</v>
      </c>
      <c r="H22" s="11" t="n">
        <v>13</v>
      </c>
      <c r="I22" s="11" t="n">
        <v>10</v>
      </c>
      <c r="J22" s="11" t="n">
        <v>19</v>
      </c>
      <c r="K22" s="11" t="n">
        <v>37</v>
      </c>
      <c r="L22" s="12" t="n">
        <f aca="false">IF(COUNTBLANK(G22:K22)&gt;0,"",SUM(G22:K22))</f>
        <v>93</v>
      </c>
      <c r="M22" s="13" t="str">
        <f aca="false">IF(L22="","",VLOOKUP(L22,'Grading Scale'!$A$2:$C$10,3,TRUE()))</f>
        <v>A1</v>
      </c>
      <c r="N22" s="12" t="str">
        <f aca="false">IF(L22="","",VLOOKUP(L22,'Grading Scale'!$A$2:$D$10,4,TRUE()))</f>
        <v>Excellent</v>
      </c>
    </row>
    <row r="23" customFormat="false" ht="15" hidden="false" customHeight="false" outlineLevel="0" collapsed="false">
      <c r="A23" s="8" t="n">
        <v>14</v>
      </c>
      <c r="B23" s="9" t="s">
        <v>82</v>
      </c>
      <c r="C23" s="9" t="s">
        <v>83</v>
      </c>
      <c r="D23" s="10" t="s">
        <v>84</v>
      </c>
      <c r="E23" s="10" t="s">
        <v>85</v>
      </c>
      <c r="F23" s="8" t="s">
        <v>37</v>
      </c>
      <c r="G23" s="11" t="n">
        <v>9</v>
      </c>
      <c r="H23" s="11" t="n">
        <v>8</v>
      </c>
      <c r="I23" s="11" t="n">
        <v>6</v>
      </c>
      <c r="J23" s="11" t="n">
        <v>13</v>
      </c>
      <c r="K23" s="11" t="n">
        <v>0</v>
      </c>
      <c r="L23" s="12" t="n">
        <f aca="false">IF(COUNTBLANK(G23:K23)&gt;0,"",SUM(G23:K23))</f>
        <v>36</v>
      </c>
      <c r="M23" s="13" t="str">
        <f aca="false">IF(L23="","",VLOOKUP(L23,'Grading Scale'!$A$2:$C$10,3,TRUE()))</f>
        <v>F9</v>
      </c>
      <c r="N23" s="12" t="str">
        <f aca="false">IF(L23="","",VLOOKUP(L23,'Grading Scale'!$A$2:$D$10,4,TRUE()))</f>
        <v>Fail</v>
      </c>
    </row>
    <row r="24" customFormat="false" ht="15" hidden="false" customHeight="false" outlineLevel="0" collapsed="false">
      <c r="A24" s="8" t="n">
        <v>15</v>
      </c>
      <c r="B24" s="9" t="s">
        <v>86</v>
      </c>
      <c r="C24" s="9" t="s">
        <v>87</v>
      </c>
      <c r="D24" s="10" t="s">
        <v>88</v>
      </c>
      <c r="E24" s="10" t="s">
        <v>89</v>
      </c>
      <c r="F24" s="8" t="s">
        <v>32</v>
      </c>
      <c r="G24" s="11" t="n">
        <v>11</v>
      </c>
      <c r="H24" s="11" t="n">
        <v>11</v>
      </c>
      <c r="I24" s="11" t="n">
        <v>8</v>
      </c>
      <c r="J24" s="11" t="n">
        <v>15</v>
      </c>
      <c r="K24" s="11" t="n">
        <v>26</v>
      </c>
      <c r="L24" s="12" t="n">
        <f aca="false">IF(COUNTBLANK(G24:K24)&gt;0,"",SUM(G24:K24))</f>
        <v>71</v>
      </c>
      <c r="M24" s="13" t="str">
        <f aca="false">IF(L24="","",VLOOKUP(L24,'Grading Scale'!$A$2:$C$10,3,TRUE()))</f>
        <v>B2</v>
      </c>
      <c r="N24" s="12" t="str">
        <f aca="false">IF(L24="","",VLOOKUP(L24,'Grading Scale'!$A$2:$D$10,4,TRUE()))</f>
        <v>Very Good</v>
      </c>
    </row>
    <row r="26" customFormat="false" ht="15" hidden="false" customHeight="false" outlineLevel="0" collapsed="false">
      <c r="J26" s="14" t="s">
        <v>90</v>
      </c>
      <c r="K26" s="14"/>
      <c r="L26" s="8" t="n">
        <f aca="false">COUNTA(B10:B24)</f>
        <v>15</v>
      </c>
    </row>
    <row r="27" customFormat="false" ht="15" hidden="false" customHeight="false" outlineLevel="0" collapsed="false">
      <c r="J27" s="14" t="s">
        <v>91</v>
      </c>
      <c r="K27" s="14"/>
      <c r="L27" s="8" t="n">
        <f aca="false">IFERROR(ROUND(AVERAGE(L10:L24),1),"")</f>
        <v>68.3</v>
      </c>
    </row>
    <row r="28" customFormat="false" ht="15" hidden="false" customHeight="false" outlineLevel="0" collapsed="false">
      <c r="J28" s="14" t="s">
        <v>92</v>
      </c>
      <c r="K28" s="14"/>
      <c r="L28" s="8" t="n">
        <f aca="false">MAX(L10:L24)</f>
        <v>93</v>
      </c>
    </row>
    <row r="29" customFormat="false" ht="15" hidden="false" customHeight="false" outlineLevel="0" collapsed="false">
      <c r="J29" s="14" t="s">
        <v>93</v>
      </c>
      <c r="K29" s="14"/>
      <c r="L29" s="8" t="n">
        <f aca="false">MIN(L10:L24)</f>
        <v>36</v>
      </c>
    </row>
    <row r="30" customFormat="false" ht="15" hidden="false" customHeight="false" outlineLevel="0" collapsed="false">
      <c r="J30" s="14" t="s">
        <v>94</v>
      </c>
      <c r="K30" s="14"/>
      <c r="L30" s="8" t="n">
        <f aca="false">COUNTA(B10:B24)-COUNT(L10:L24)</f>
        <v>0</v>
      </c>
    </row>
    <row r="31" customFormat="false" ht="15" hidden="false" customHeight="false" outlineLevel="0" collapsed="false">
      <c r="J31" s="14" t="s">
        <v>95</v>
      </c>
      <c r="K31" s="14"/>
      <c r="L31" s="8" t="n">
        <f aca="false">COUNTIF(L10:L24,"&gt;=40")</f>
        <v>14</v>
      </c>
    </row>
  </sheetData>
  <mergeCells count="21">
    <mergeCell ref="A1:N1"/>
    <mergeCell ref="A3:C3"/>
    <mergeCell ref="D3:F3"/>
    <mergeCell ref="H3:I3"/>
    <mergeCell ref="J3:M3"/>
    <mergeCell ref="A4:C4"/>
    <mergeCell ref="D4:F4"/>
    <mergeCell ref="H4:I4"/>
    <mergeCell ref="J4:M4"/>
    <mergeCell ref="A5:C5"/>
    <mergeCell ref="D5:F5"/>
    <mergeCell ref="H5:I5"/>
    <mergeCell ref="J5:M5"/>
    <mergeCell ref="A6:C6"/>
    <mergeCell ref="D6:I6"/>
    <mergeCell ref="J26:K26"/>
    <mergeCell ref="J27:K27"/>
    <mergeCell ref="J28:K28"/>
    <mergeCell ref="J29:K29"/>
    <mergeCell ref="J30:K30"/>
    <mergeCell ref="J31:K31"/>
  </mergeCells>
  <conditionalFormatting sqref="M10:M24">
    <cfRule type="expression" priority="2" aboveAverage="0" equalAverage="0" bottom="0" percent="0" rank="0" text="" dxfId="0">
      <formula>M10="F9"</formula>
    </cfRule>
  </conditionalFormatting>
  <dataValidations count="9">
    <dataValidation allowBlank="false" error="Class Assessment must be a number from 0 to 15. Enter 0 if the student has no mark." errorStyle="stop" errorTitle="Invalid Class Assessment mark" operator="between" showDropDown="false" showErrorMessage="true" showInputMessage="false" sqref="G10:G84" type="custom">
      <formula1>AND(ISNUMBER(G10),G10&gt;=0,G10&lt;=15)</formula1>
      <formula2>0</formula2>
    </dataValidation>
    <dataValidation allowBlank="false" error="Mid Sem must be a number from 0 to 15. Enter 0 if the student has no mark." errorStyle="stop" errorTitle="Invalid Mid Sem mark" operator="between" showDropDown="false" showErrorMessage="true" showInputMessage="false" sqref="H10:H84" type="custom">
      <formula1>AND(ISNUMBER(H10),H10&gt;=0,H10&lt;=15)</formula1>
      <formula2>0</formula2>
    </dataValidation>
    <dataValidation allowBlank="false" error="Practical / Portfolio must be a number from 0 to 10. Enter 0 if the student has no mark." errorStyle="stop" errorTitle="Invalid Practical / Portfolio mark" operator="between" showDropDown="false" showErrorMessage="true" showInputMessage="false" sqref="I10:I84" type="custom">
      <formula1>AND(ISNUMBER(I10),I10&gt;=0,I10&lt;=10)</formula1>
      <formula2>0</formula2>
    </dataValidation>
    <dataValidation allowBlank="false" error="Project Work must be a number from 0 to 20. Enter 0 if the student has no mark." errorStyle="stop" errorTitle="Invalid Project Work mark" operator="between" showDropDown="false" showErrorMessage="true" showInputMessage="false" sqref="J10:J84" type="custom">
      <formula1>AND(ISNUMBER(J10),J10&gt;=0,J10&lt;=20)</formula1>
      <formula2>0</formula2>
    </dataValidation>
    <dataValidation allowBlank="false" error="Semester Exam must be a number from 0 to 40. Enter 0 if the student has no mark." errorStyle="stop" errorTitle="Invalid Semester Exam mark" operator="between" showDropDown="false" showErrorMessage="true" showInputMessage="false" sqref="K10:K84" type="custom">
      <formula1>AND(ISNUMBER(K10),K10&gt;=0,K10&lt;=40)</formula1>
      <formula2>0</formula2>
    </dataValidation>
    <dataValidation allowBlank="false" errorStyle="stop" operator="between" showDropDown="false" showErrorMessage="false" showInputMessage="false" sqref="D4" type="list">
      <formula1>Lists!$A$2:$A$3</formula1>
      <formula2>0</formula2>
    </dataValidation>
    <dataValidation allowBlank="false" errorStyle="stop" operator="between" showDropDown="false" showErrorMessage="false" showInputMessage="false" sqref="D5" type="list">
      <formula1>Lists!$D$2:$D$115</formula1>
      <formula2>0</formula2>
    </dataValidation>
    <dataValidation allowBlank="false" errorStyle="stop" operator="between" showDropDown="false" showErrorMessage="false" showInputMessage="false" sqref="J3" type="list">
      <formula1>Lists!$B$2:$B$7</formula1>
      <formula2>0</formula2>
    </dataValidation>
    <dataValidation allowBlank="false" errorStyle="stop" operator="between" showDropDown="false" showErrorMessage="false" showInputMessage="false" sqref="J4" type="list">
      <formula1>Lists!$C$2:$C$30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5" t="s">
        <v>96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97</v>
      </c>
    </row>
    <row r="4" customFormat="false" ht="15" hidden="false" customHeight="false" outlineLevel="0" collapsed="false">
      <c r="A4" s="16" t="s">
        <v>98</v>
      </c>
    </row>
    <row r="5" customFormat="false" ht="15" hidden="false" customHeight="false" outlineLevel="0" collapsed="false">
      <c r="A5" s="16" t="s">
        <v>99</v>
      </c>
    </row>
    <row r="6" customFormat="false" ht="15" hidden="false" customHeight="false" outlineLevel="0" collapsed="false">
      <c r="A6" s="16" t="s">
        <v>100</v>
      </c>
    </row>
    <row r="7" customFormat="false" ht="15" hidden="false" customHeight="false" outlineLevel="0" collapsed="false">
      <c r="A7" s="16" t="s">
        <v>101</v>
      </c>
    </row>
    <row r="8" customFormat="false" ht="15" hidden="false" customHeight="false" outlineLevel="0" collapsed="false">
      <c r="A8" s="16" t="s">
        <v>102</v>
      </c>
    </row>
    <row r="9" customFormat="false" ht="15" hidden="false" customHeight="false" outlineLevel="0" collapsed="false">
      <c r="A9" s="16" t="s">
        <v>103</v>
      </c>
    </row>
    <row r="10" customFormat="false" ht="15" hidden="false" customHeight="false" outlineLevel="0" collapsed="false">
      <c r="A10" s="16" t="s">
        <v>104</v>
      </c>
    </row>
    <row r="11" customFormat="false" ht="15" hidden="false" customHeight="false" outlineLevel="0" collapsed="false">
      <c r="A11" s="16" t="s">
        <v>105</v>
      </c>
    </row>
    <row r="12" customFormat="false" ht="15" hidden="false" customHeight="false" outlineLevel="0" collapsed="false">
      <c r="A12" s="16" t="s">
        <v>106</v>
      </c>
    </row>
    <row r="13" customFormat="false" ht="15" hidden="false" customHeight="false" outlineLevel="0" collapsed="false">
      <c r="A13" s="16" t="s">
        <v>107</v>
      </c>
    </row>
    <row r="14" customFormat="false" ht="15" hidden="false" customHeight="false" outlineLevel="0" collapsed="false">
      <c r="A14" s="16" t="s">
        <v>108</v>
      </c>
    </row>
    <row r="15" customFormat="false" ht="15" hidden="false" customHeight="false" outlineLevel="0" collapsed="false">
      <c r="A15" s="17"/>
    </row>
    <row r="16" customFormat="false" ht="15" hidden="false" customHeight="false" outlineLevel="0" collapsed="false">
      <c r="A16" s="16" t="s">
        <v>109</v>
      </c>
    </row>
    <row r="17" customFormat="false" ht="15" hidden="false" customHeight="false" outlineLevel="0" collapsed="false">
      <c r="A17" s="16" t="s">
        <v>110</v>
      </c>
    </row>
    <row r="18" customFormat="false" ht="15" hidden="false" customHeight="false" outlineLevel="0" collapsed="false">
      <c r="A18" s="16" t="s">
        <v>111</v>
      </c>
    </row>
    <row r="19" customFormat="false" ht="15" hidden="false" customHeight="false" outlineLevel="0" collapsed="false">
      <c r="A19" s="16" t="s">
        <v>112</v>
      </c>
    </row>
    <row r="20" customFormat="false" ht="15" hidden="false" customHeight="false" outlineLevel="0" collapsed="false">
      <c r="A20" s="16" t="s">
        <v>113</v>
      </c>
    </row>
    <row r="21" customFormat="false" ht="15" hidden="false" customHeight="false" outlineLevel="0" collapsed="false">
      <c r="A21" s="1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8" t="s">
        <v>115</v>
      </c>
      <c r="B1" s="18" t="s">
        <v>116</v>
      </c>
      <c r="C1" s="18" t="s">
        <v>26</v>
      </c>
      <c r="D1" s="18" t="s">
        <v>117</v>
      </c>
      <c r="F1" s="19" t="s">
        <v>118</v>
      </c>
    </row>
    <row r="2" customFormat="false" ht="15" hidden="false" customHeight="false" outlineLevel="0" collapsed="false">
      <c r="A2" s="20" t="n">
        <v>0</v>
      </c>
      <c r="B2" s="20" t="n">
        <v>39</v>
      </c>
      <c r="C2" s="20" t="s">
        <v>119</v>
      </c>
      <c r="D2" s="20" t="s">
        <v>120</v>
      </c>
    </row>
    <row r="3" customFormat="false" ht="15" hidden="false" customHeight="false" outlineLevel="0" collapsed="false">
      <c r="A3" s="20" t="n">
        <v>40</v>
      </c>
      <c r="B3" s="20" t="n">
        <v>44</v>
      </c>
      <c r="C3" s="20" t="s">
        <v>121</v>
      </c>
      <c r="D3" s="20" t="s">
        <v>122</v>
      </c>
    </row>
    <row r="4" customFormat="false" ht="15" hidden="false" customHeight="false" outlineLevel="0" collapsed="false">
      <c r="A4" s="20" t="n">
        <v>45</v>
      </c>
      <c r="B4" s="20" t="n">
        <v>49</v>
      </c>
      <c r="C4" s="20" t="s">
        <v>123</v>
      </c>
      <c r="D4" s="20" t="s">
        <v>122</v>
      </c>
    </row>
    <row r="5" customFormat="false" ht="15" hidden="false" customHeight="false" outlineLevel="0" collapsed="false">
      <c r="A5" s="20" t="n">
        <v>50</v>
      </c>
      <c r="B5" s="20" t="n">
        <v>54</v>
      </c>
      <c r="C5" s="20" t="s">
        <v>124</v>
      </c>
      <c r="D5" s="20" t="s">
        <v>125</v>
      </c>
    </row>
    <row r="6" customFormat="false" ht="15" hidden="false" customHeight="false" outlineLevel="0" collapsed="false">
      <c r="A6" s="20" t="n">
        <v>55</v>
      </c>
      <c r="B6" s="20" t="n">
        <v>59</v>
      </c>
      <c r="C6" s="20" t="s">
        <v>126</v>
      </c>
      <c r="D6" s="20" t="s">
        <v>125</v>
      </c>
    </row>
    <row r="7" customFormat="false" ht="15" hidden="false" customHeight="false" outlineLevel="0" collapsed="false">
      <c r="A7" s="20" t="n">
        <v>60</v>
      </c>
      <c r="B7" s="20" t="n">
        <v>64</v>
      </c>
      <c r="C7" s="20" t="s">
        <v>127</v>
      </c>
      <c r="D7" s="20" t="s">
        <v>125</v>
      </c>
    </row>
    <row r="8" customFormat="false" ht="15" hidden="false" customHeight="false" outlineLevel="0" collapsed="false">
      <c r="A8" s="20" t="n">
        <v>65</v>
      </c>
      <c r="B8" s="20" t="n">
        <v>69</v>
      </c>
      <c r="C8" s="20" t="s">
        <v>128</v>
      </c>
      <c r="D8" s="20" t="s">
        <v>129</v>
      </c>
    </row>
    <row r="9" customFormat="false" ht="15" hidden="false" customHeight="false" outlineLevel="0" collapsed="false">
      <c r="A9" s="20" t="n">
        <v>70</v>
      </c>
      <c r="B9" s="20" t="n">
        <v>79</v>
      </c>
      <c r="C9" s="20" t="s">
        <v>130</v>
      </c>
      <c r="D9" s="20" t="s">
        <v>131</v>
      </c>
    </row>
    <row r="10" customFormat="false" ht="15" hidden="false" customHeight="false" outlineLevel="0" collapsed="false">
      <c r="A10" s="20" t="n">
        <v>80</v>
      </c>
      <c r="B10" s="20" t="n">
        <v>100</v>
      </c>
      <c r="C10" s="20" t="s">
        <v>132</v>
      </c>
      <c r="D10" s="2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48"/>
    <col collapsed="false" customWidth="true" hidden="false" outlineLevel="0" max="4" min="4" style="0" width="11"/>
  </cols>
  <sheetData>
    <row r="1" customFormat="false" ht="26.85" hidden="false" customHeight="false" outlineLevel="0" collapsed="false">
      <c r="A1" s="21" t="s">
        <v>134</v>
      </c>
      <c r="B1" s="22" t="s">
        <v>135</v>
      </c>
      <c r="C1" s="22" t="s">
        <v>136</v>
      </c>
      <c r="D1" s="21" t="s">
        <v>137</v>
      </c>
    </row>
    <row r="2" customFormat="false" ht="26.85" hidden="false" customHeight="false" outlineLevel="0" collapsed="false">
      <c r="A2" s="23" t="n">
        <v>1</v>
      </c>
      <c r="B2" s="24" t="s">
        <v>138</v>
      </c>
      <c r="C2" s="24" t="s">
        <v>139</v>
      </c>
      <c r="D2" s="23" t="n">
        <v>15</v>
      </c>
    </row>
    <row r="3" customFormat="false" ht="15" hidden="false" customHeight="false" outlineLevel="0" collapsed="false">
      <c r="A3" s="23" t="n">
        <v>2</v>
      </c>
      <c r="B3" s="24" t="s">
        <v>140</v>
      </c>
      <c r="C3" s="24" t="s">
        <v>140</v>
      </c>
      <c r="D3" s="23" t="n">
        <v>15</v>
      </c>
    </row>
    <row r="4" customFormat="false" ht="26.85" hidden="false" customHeight="false" outlineLevel="0" collapsed="false">
      <c r="A4" s="23" t="n">
        <v>3</v>
      </c>
      <c r="B4" s="24" t="s">
        <v>141</v>
      </c>
      <c r="C4" s="24" t="s">
        <v>141</v>
      </c>
      <c r="D4" s="23" t="n">
        <v>10</v>
      </c>
    </row>
    <row r="5" customFormat="false" ht="39.55" hidden="false" customHeight="false" outlineLevel="0" collapsed="false">
      <c r="A5" s="23" t="n">
        <v>4</v>
      </c>
      <c r="B5" s="24" t="s">
        <v>142</v>
      </c>
      <c r="C5" s="24" t="s">
        <v>143</v>
      </c>
      <c r="D5" s="23" t="n">
        <v>20</v>
      </c>
    </row>
    <row r="6" customFormat="false" ht="15" hidden="false" customHeight="false" outlineLevel="0" collapsed="false">
      <c r="A6" s="23" t="n">
        <v>5</v>
      </c>
      <c r="B6" s="24" t="s">
        <v>144</v>
      </c>
      <c r="C6" s="24" t="s">
        <v>144</v>
      </c>
      <c r="D6" s="23" t="n">
        <v>40</v>
      </c>
    </row>
    <row r="7" customFormat="false" ht="15" hidden="false" customHeight="false" outlineLevel="0" collapsed="false">
      <c r="A7" s="25"/>
      <c r="B7" s="25"/>
      <c r="C7" s="26" t="s">
        <v>145</v>
      </c>
      <c r="D7" s="27" t="n">
        <f aca="false">SUM(D2:D6)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5" hidden="false" customHeight="false" outlineLevel="0" collapsed="false">
      <c r="A1" s="28" t="s">
        <v>5</v>
      </c>
      <c r="B1" s="28" t="s">
        <v>3</v>
      </c>
      <c r="C1" s="28" t="s">
        <v>7</v>
      </c>
      <c r="D1" s="28" t="s">
        <v>9</v>
      </c>
      <c r="F1" s="29" t="s">
        <v>146</v>
      </c>
    </row>
    <row r="2" customFormat="false" ht="15" hidden="false" customHeight="false" outlineLevel="0" collapsed="false">
      <c r="A2" s="30" t="s">
        <v>6</v>
      </c>
      <c r="B2" s="30" t="s">
        <v>147</v>
      </c>
      <c r="C2" s="30" t="s">
        <v>148</v>
      </c>
      <c r="D2" s="30" t="s">
        <v>149</v>
      </c>
    </row>
    <row r="3" customFormat="false" ht="15" hidden="false" customHeight="false" outlineLevel="0" collapsed="false">
      <c r="A3" s="30" t="s">
        <v>150</v>
      </c>
      <c r="B3" s="30" t="s">
        <v>151</v>
      </c>
      <c r="C3" s="30" t="s">
        <v>152</v>
      </c>
      <c r="D3" s="30" t="s">
        <v>153</v>
      </c>
    </row>
    <row r="4" customFormat="false" ht="15" hidden="false" customHeight="false" outlineLevel="0" collapsed="false">
      <c r="B4" s="30" t="s">
        <v>4</v>
      </c>
      <c r="C4" s="30" t="s">
        <v>154</v>
      </c>
      <c r="D4" s="30" t="s">
        <v>155</v>
      </c>
    </row>
    <row r="5" customFormat="false" ht="15" hidden="false" customHeight="false" outlineLevel="0" collapsed="false">
      <c r="B5" s="30" t="s">
        <v>156</v>
      </c>
      <c r="C5" s="30" t="s">
        <v>157</v>
      </c>
      <c r="D5" s="30" t="s">
        <v>158</v>
      </c>
    </row>
    <row r="6" customFormat="false" ht="15" hidden="false" customHeight="false" outlineLevel="0" collapsed="false">
      <c r="B6" s="30" t="s">
        <v>159</v>
      </c>
      <c r="C6" s="30" t="s">
        <v>160</v>
      </c>
      <c r="D6" s="30" t="s">
        <v>161</v>
      </c>
    </row>
    <row r="7" customFormat="false" ht="15" hidden="false" customHeight="false" outlineLevel="0" collapsed="false">
      <c r="B7" s="30" t="s">
        <v>162</v>
      </c>
      <c r="C7" s="30" t="s">
        <v>8</v>
      </c>
      <c r="D7" s="30" t="s">
        <v>163</v>
      </c>
    </row>
    <row r="8" customFormat="false" ht="15" hidden="false" customHeight="false" outlineLevel="0" collapsed="false">
      <c r="C8" s="30" t="s">
        <v>164</v>
      </c>
      <c r="D8" s="30" t="s">
        <v>165</v>
      </c>
    </row>
    <row r="9" customFormat="false" ht="15" hidden="false" customHeight="false" outlineLevel="0" collapsed="false">
      <c r="C9" s="30" t="s">
        <v>166</v>
      </c>
      <c r="D9" s="30" t="s">
        <v>167</v>
      </c>
    </row>
    <row r="10" customFormat="false" ht="15" hidden="false" customHeight="false" outlineLevel="0" collapsed="false">
      <c r="C10" s="30" t="s">
        <v>168</v>
      </c>
      <c r="D10" s="30" t="s">
        <v>169</v>
      </c>
    </row>
    <row r="11" customFormat="false" ht="15" hidden="false" customHeight="false" outlineLevel="0" collapsed="false">
      <c r="C11" s="30" t="s">
        <v>170</v>
      </c>
      <c r="D11" s="30" t="s">
        <v>171</v>
      </c>
    </row>
    <row r="12" customFormat="false" ht="15" hidden="false" customHeight="false" outlineLevel="0" collapsed="false">
      <c r="C12" s="30" t="s">
        <v>172</v>
      </c>
      <c r="D12" s="30" t="s">
        <v>173</v>
      </c>
    </row>
    <row r="13" customFormat="false" ht="15" hidden="false" customHeight="false" outlineLevel="0" collapsed="false">
      <c r="C13" s="30" t="s">
        <v>174</v>
      </c>
      <c r="D13" s="30" t="s">
        <v>175</v>
      </c>
    </row>
    <row r="14" customFormat="false" ht="15" hidden="false" customHeight="false" outlineLevel="0" collapsed="false">
      <c r="C14" s="30" t="s">
        <v>176</v>
      </c>
      <c r="D14" s="30" t="s">
        <v>177</v>
      </c>
    </row>
    <row r="15" customFormat="false" ht="15" hidden="false" customHeight="false" outlineLevel="0" collapsed="false">
      <c r="C15" s="30" t="s">
        <v>178</v>
      </c>
      <c r="D15" s="30" t="s">
        <v>179</v>
      </c>
    </row>
    <row r="16" customFormat="false" ht="15" hidden="false" customHeight="false" outlineLevel="0" collapsed="false">
      <c r="C16" s="30" t="s">
        <v>180</v>
      </c>
      <c r="D16" s="30" t="s">
        <v>181</v>
      </c>
    </row>
    <row r="17" customFormat="false" ht="15" hidden="false" customHeight="false" outlineLevel="0" collapsed="false">
      <c r="C17" s="30" t="s">
        <v>182</v>
      </c>
      <c r="D17" s="30" t="s">
        <v>183</v>
      </c>
    </row>
    <row r="18" customFormat="false" ht="15" hidden="false" customHeight="false" outlineLevel="0" collapsed="false">
      <c r="C18" s="30" t="s">
        <v>184</v>
      </c>
      <c r="D18" s="30" t="s">
        <v>185</v>
      </c>
    </row>
    <row r="19" customFormat="false" ht="15" hidden="false" customHeight="false" outlineLevel="0" collapsed="false">
      <c r="C19" s="30" t="s">
        <v>186</v>
      </c>
      <c r="D19" s="30" t="s">
        <v>187</v>
      </c>
    </row>
    <row r="20" customFormat="false" ht="15" hidden="false" customHeight="false" outlineLevel="0" collapsed="false">
      <c r="C20" s="30" t="s">
        <v>188</v>
      </c>
      <c r="D20" s="30" t="s">
        <v>189</v>
      </c>
    </row>
    <row r="21" customFormat="false" ht="15" hidden="false" customHeight="false" outlineLevel="0" collapsed="false">
      <c r="C21" s="30" t="s">
        <v>190</v>
      </c>
      <c r="D21" s="30" t="s">
        <v>191</v>
      </c>
    </row>
    <row r="22" customFormat="false" ht="15" hidden="false" customHeight="false" outlineLevel="0" collapsed="false">
      <c r="C22" s="30" t="s">
        <v>192</v>
      </c>
      <c r="D22" s="30" t="s">
        <v>193</v>
      </c>
    </row>
    <row r="23" customFormat="false" ht="15" hidden="false" customHeight="false" outlineLevel="0" collapsed="false">
      <c r="C23" s="30" t="s">
        <v>194</v>
      </c>
      <c r="D23" s="30" t="s">
        <v>195</v>
      </c>
    </row>
    <row r="24" customFormat="false" ht="15" hidden="false" customHeight="false" outlineLevel="0" collapsed="false">
      <c r="C24" s="30" t="s">
        <v>196</v>
      </c>
      <c r="D24" s="30" t="s">
        <v>197</v>
      </c>
    </row>
    <row r="25" customFormat="false" ht="15" hidden="false" customHeight="false" outlineLevel="0" collapsed="false">
      <c r="C25" s="30" t="s">
        <v>198</v>
      </c>
      <c r="D25" s="30" t="s">
        <v>199</v>
      </c>
    </row>
    <row r="26" customFormat="false" ht="15" hidden="false" customHeight="false" outlineLevel="0" collapsed="false">
      <c r="C26" s="30" t="s">
        <v>200</v>
      </c>
      <c r="D26" s="30" t="s">
        <v>201</v>
      </c>
    </row>
    <row r="27" customFormat="false" ht="15" hidden="false" customHeight="false" outlineLevel="0" collapsed="false">
      <c r="C27" s="30" t="s">
        <v>202</v>
      </c>
      <c r="D27" s="30" t="s">
        <v>203</v>
      </c>
    </row>
    <row r="28" customFormat="false" ht="15" hidden="false" customHeight="false" outlineLevel="0" collapsed="false">
      <c r="C28" s="30" t="s">
        <v>204</v>
      </c>
      <c r="D28" s="30" t="s">
        <v>205</v>
      </c>
    </row>
    <row r="29" customFormat="false" ht="15" hidden="false" customHeight="false" outlineLevel="0" collapsed="false">
      <c r="C29" s="30" t="s">
        <v>206</v>
      </c>
      <c r="D29" s="30" t="s">
        <v>207</v>
      </c>
    </row>
    <row r="30" customFormat="false" ht="15" hidden="false" customHeight="false" outlineLevel="0" collapsed="false">
      <c r="C30" s="30" t="s">
        <v>208</v>
      </c>
      <c r="D30" s="30" t="s">
        <v>209</v>
      </c>
    </row>
    <row r="31" customFormat="false" ht="15" hidden="false" customHeight="false" outlineLevel="0" collapsed="false">
      <c r="D31" s="30" t="s">
        <v>210</v>
      </c>
    </row>
    <row r="32" customFormat="false" ht="15" hidden="false" customHeight="false" outlineLevel="0" collapsed="false">
      <c r="D32" s="30" t="s">
        <v>211</v>
      </c>
    </row>
    <row r="33" customFormat="false" ht="15" hidden="false" customHeight="false" outlineLevel="0" collapsed="false">
      <c r="D33" s="30" t="s">
        <v>212</v>
      </c>
    </row>
    <row r="34" customFormat="false" ht="15" hidden="false" customHeight="false" outlineLevel="0" collapsed="false">
      <c r="D34" s="30" t="s">
        <v>213</v>
      </c>
    </row>
    <row r="35" customFormat="false" ht="15" hidden="false" customHeight="false" outlineLevel="0" collapsed="false">
      <c r="D35" s="30" t="s">
        <v>214</v>
      </c>
    </row>
    <row r="36" customFormat="false" ht="15" hidden="false" customHeight="false" outlineLevel="0" collapsed="false">
      <c r="D36" s="30" t="s">
        <v>215</v>
      </c>
    </row>
    <row r="37" customFormat="false" ht="15" hidden="false" customHeight="false" outlineLevel="0" collapsed="false">
      <c r="D37" s="30" t="s">
        <v>216</v>
      </c>
    </row>
    <row r="38" customFormat="false" ht="15" hidden="false" customHeight="false" outlineLevel="0" collapsed="false">
      <c r="D38" s="30" t="s">
        <v>217</v>
      </c>
    </row>
    <row r="39" customFormat="false" ht="15" hidden="false" customHeight="false" outlineLevel="0" collapsed="false">
      <c r="D39" s="30" t="s">
        <v>218</v>
      </c>
    </row>
    <row r="40" customFormat="false" ht="15" hidden="false" customHeight="false" outlineLevel="0" collapsed="false">
      <c r="D40" s="30" t="s">
        <v>219</v>
      </c>
    </row>
    <row r="41" customFormat="false" ht="15" hidden="false" customHeight="false" outlineLevel="0" collapsed="false">
      <c r="D41" s="30" t="s">
        <v>220</v>
      </c>
    </row>
    <row r="42" customFormat="false" ht="15" hidden="false" customHeight="false" outlineLevel="0" collapsed="false">
      <c r="D42" s="30" t="s">
        <v>221</v>
      </c>
    </row>
    <row r="43" customFormat="false" ht="15" hidden="false" customHeight="false" outlineLevel="0" collapsed="false">
      <c r="D43" s="30" t="s">
        <v>222</v>
      </c>
    </row>
    <row r="44" customFormat="false" ht="15" hidden="false" customHeight="false" outlineLevel="0" collapsed="false">
      <c r="D44" s="30" t="s">
        <v>223</v>
      </c>
    </row>
    <row r="45" customFormat="false" ht="15" hidden="false" customHeight="false" outlineLevel="0" collapsed="false">
      <c r="D45" s="30" t="s">
        <v>224</v>
      </c>
    </row>
    <row r="46" customFormat="false" ht="15" hidden="false" customHeight="false" outlineLevel="0" collapsed="false">
      <c r="D46" s="30" t="s">
        <v>225</v>
      </c>
    </row>
    <row r="47" customFormat="false" ht="15" hidden="false" customHeight="false" outlineLevel="0" collapsed="false">
      <c r="D47" s="30" t="s">
        <v>226</v>
      </c>
    </row>
    <row r="48" customFormat="false" ht="15" hidden="false" customHeight="false" outlineLevel="0" collapsed="false">
      <c r="D48" s="30" t="s">
        <v>227</v>
      </c>
    </row>
    <row r="49" customFormat="false" ht="15" hidden="false" customHeight="false" outlineLevel="0" collapsed="false">
      <c r="D49" s="30" t="s">
        <v>228</v>
      </c>
    </row>
    <row r="50" customFormat="false" ht="15" hidden="false" customHeight="false" outlineLevel="0" collapsed="false">
      <c r="D50" s="30" t="s">
        <v>229</v>
      </c>
    </row>
    <row r="51" customFormat="false" ht="15" hidden="false" customHeight="false" outlineLevel="0" collapsed="false">
      <c r="D51" s="30" t="s">
        <v>230</v>
      </c>
    </row>
    <row r="52" customFormat="false" ht="15" hidden="false" customHeight="false" outlineLevel="0" collapsed="false">
      <c r="D52" s="30" t="s">
        <v>231</v>
      </c>
    </row>
    <row r="53" customFormat="false" ht="15" hidden="false" customHeight="false" outlineLevel="0" collapsed="false">
      <c r="D53" s="30" t="s">
        <v>232</v>
      </c>
    </row>
    <row r="54" customFormat="false" ht="15" hidden="false" customHeight="false" outlineLevel="0" collapsed="false">
      <c r="D54" s="30" t="s">
        <v>10</v>
      </c>
    </row>
    <row r="55" customFormat="false" ht="15" hidden="false" customHeight="false" outlineLevel="0" collapsed="false">
      <c r="D55" s="30" t="s">
        <v>233</v>
      </c>
    </row>
    <row r="56" customFormat="false" ht="15" hidden="false" customHeight="false" outlineLevel="0" collapsed="false">
      <c r="D56" s="30" t="s">
        <v>234</v>
      </c>
    </row>
    <row r="57" customFormat="false" ht="15" hidden="false" customHeight="false" outlineLevel="0" collapsed="false">
      <c r="D57" s="30" t="s">
        <v>235</v>
      </c>
    </row>
    <row r="58" customFormat="false" ht="15" hidden="false" customHeight="false" outlineLevel="0" collapsed="false">
      <c r="D58" s="30" t="s">
        <v>236</v>
      </c>
    </row>
    <row r="59" customFormat="false" ht="15" hidden="false" customHeight="false" outlineLevel="0" collapsed="false">
      <c r="D59" s="30" t="s">
        <v>237</v>
      </c>
    </row>
    <row r="60" customFormat="false" ht="15" hidden="false" customHeight="false" outlineLevel="0" collapsed="false">
      <c r="D60" s="30" t="s">
        <v>238</v>
      </c>
    </row>
    <row r="61" customFormat="false" ht="15" hidden="false" customHeight="false" outlineLevel="0" collapsed="false">
      <c r="D61" s="30" t="s">
        <v>239</v>
      </c>
    </row>
    <row r="62" customFormat="false" ht="15" hidden="false" customHeight="false" outlineLevel="0" collapsed="false">
      <c r="D62" s="30" t="s">
        <v>240</v>
      </c>
    </row>
    <row r="63" customFormat="false" ht="15" hidden="false" customHeight="false" outlineLevel="0" collapsed="false">
      <c r="D63" s="30" t="s">
        <v>241</v>
      </c>
    </row>
    <row r="64" customFormat="false" ht="15" hidden="false" customHeight="false" outlineLevel="0" collapsed="false">
      <c r="D64" s="30" t="s">
        <v>242</v>
      </c>
    </row>
    <row r="65" customFormat="false" ht="15" hidden="false" customHeight="false" outlineLevel="0" collapsed="false">
      <c r="D65" s="30" t="s">
        <v>243</v>
      </c>
    </row>
    <row r="66" customFormat="false" ht="15" hidden="false" customHeight="false" outlineLevel="0" collapsed="false">
      <c r="D66" s="30" t="s">
        <v>244</v>
      </c>
    </row>
    <row r="67" customFormat="false" ht="15" hidden="false" customHeight="false" outlineLevel="0" collapsed="false">
      <c r="D67" s="30" t="s">
        <v>245</v>
      </c>
    </row>
    <row r="68" customFormat="false" ht="15" hidden="false" customHeight="false" outlineLevel="0" collapsed="false">
      <c r="D68" s="30" t="s">
        <v>246</v>
      </c>
    </row>
    <row r="69" customFormat="false" ht="15" hidden="false" customHeight="false" outlineLevel="0" collapsed="false">
      <c r="D69" s="30" t="s">
        <v>247</v>
      </c>
    </row>
    <row r="70" customFormat="false" ht="15" hidden="false" customHeight="false" outlineLevel="0" collapsed="false">
      <c r="D70" s="30" t="s">
        <v>248</v>
      </c>
    </row>
    <row r="71" customFormat="false" ht="15" hidden="false" customHeight="false" outlineLevel="0" collapsed="false">
      <c r="D71" s="30" t="s">
        <v>249</v>
      </c>
    </row>
    <row r="72" customFormat="false" ht="15" hidden="false" customHeight="false" outlineLevel="0" collapsed="false">
      <c r="D72" s="30" t="s">
        <v>250</v>
      </c>
    </row>
    <row r="73" customFormat="false" ht="15" hidden="false" customHeight="false" outlineLevel="0" collapsed="false">
      <c r="D73" s="30" t="s">
        <v>251</v>
      </c>
    </row>
    <row r="74" customFormat="false" ht="15" hidden="false" customHeight="false" outlineLevel="0" collapsed="false">
      <c r="D74" s="30" t="s">
        <v>252</v>
      </c>
    </row>
    <row r="75" customFormat="false" ht="15" hidden="false" customHeight="false" outlineLevel="0" collapsed="false">
      <c r="D75" s="30" t="s">
        <v>253</v>
      </c>
    </row>
    <row r="76" customFormat="false" ht="15" hidden="false" customHeight="false" outlineLevel="0" collapsed="false">
      <c r="D76" s="30" t="s">
        <v>254</v>
      </c>
    </row>
    <row r="77" customFormat="false" ht="15" hidden="false" customHeight="false" outlineLevel="0" collapsed="false">
      <c r="D77" s="30" t="s">
        <v>255</v>
      </c>
    </row>
    <row r="78" customFormat="false" ht="15" hidden="false" customHeight="false" outlineLevel="0" collapsed="false">
      <c r="D78" s="30" t="s">
        <v>256</v>
      </c>
    </row>
    <row r="79" customFormat="false" ht="15" hidden="false" customHeight="false" outlineLevel="0" collapsed="false">
      <c r="D79" s="30" t="s">
        <v>257</v>
      </c>
    </row>
    <row r="80" customFormat="false" ht="15" hidden="false" customHeight="false" outlineLevel="0" collapsed="false">
      <c r="D80" s="30" t="s">
        <v>258</v>
      </c>
    </row>
    <row r="81" customFormat="false" ht="15" hidden="false" customHeight="false" outlineLevel="0" collapsed="false">
      <c r="D81" s="30" t="s">
        <v>259</v>
      </c>
    </row>
    <row r="82" customFormat="false" ht="15" hidden="false" customHeight="false" outlineLevel="0" collapsed="false">
      <c r="D82" s="30" t="s">
        <v>260</v>
      </c>
    </row>
    <row r="83" customFormat="false" ht="15" hidden="false" customHeight="false" outlineLevel="0" collapsed="false">
      <c r="D83" s="30" t="s">
        <v>261</v>
      </c>
    </row>
    <row r="84" customFormat="false" ht="15" hidden="false" customHeight="false" outlineLevel="0" collapsed="false">
      <c r="D84" s="30" t="s">
        <v>262</v>
      </c>
    </row>
    <row r="85" customFormat="false" ht="15" hidden="false" customHeight="false" outlineLevel="0" collapsed="false">
      <c r="D85" s="30" t="s">
        <v>263</v>
      </c>
    </row>
    <row r="86" customFormat="false" ht="15" hidden="false" customHeight="false" outlineLevel="0" collapsed="false">
      <c r="D86" s="30" t="s">
        <v>264</v>
      </c>
    </row>
    <row r="87" customFormat="false" ht="15" hidden="false" customHeight="false" outlineLevel="0" collapsed="false">
      <c r="D87" s="30" t="s">
        <v>265</v>
      </c>
    </row>
    <row r="88" customFormat="false" ht="15" hidden="false" customHeight="false" outlineLevel="0" collapsed="false">
      <c r="D88" s="30" t="s">
        <v>266</v>
      </c>
    </row>
    <row r="89" customFormat="false" ht="15" hidden="false" customHeight="false" outlineLevel="0" collapsed="false">
      <c r="D89" s="30" t="s">
        <v>267</v>
      </c>
    </row>
    <row r="90" customFormat="false" ht="15" hidden="false" customHeight="false" outlineLevel="0" collapsed="false">
      <c r="D90" s="30" t="s">
        <v>268</v>
      </c>
    </row>
    <row r="91" customFormat="false" ht="15" hidden="false" customHeight="false" outlineLevel="0" collapsed="false">
      <c r="D91" s="30" t="s">
        <v>269</v>
      </c>
    </row>
    <row r="92" customFormat="false" ht="15" hidden="false" customHeight="false" outlineLevel="0" collapsed="false">
      <c r="D92" s="30" t="s">
        <v>270</v>
      </c>
    </row>
    <row r="93" customFormat="false" ht="15" hidden="false" customHeight="false" outlineLevel="0" collapsed="false">
      <c r="D93" s="30" t="s">
        <v>271</v>
      </c>
    </row>
    <row r="94" customFormat="false" ht="15" hidden="false" customHeight="false" outlineLevel="0" collapsed="false">
      <c r="D94" s="30" t="s">
        <v>272</v>
      </c>
    </row>
    <row r="95" customFormat="false" ht="15" hidden="false" customHeight="false" outlineLevel="0" collapsed="false">
      <c r="D95" s="30" t="s">
        <v>273</v>
      </c>
    </row>
    <row r="96" customFormat="false" ht="15" hidden="false" customHeight="false" outlineLevel="0" collapsed="false">
      <c r="D96" s="30" t="s">
        <v>274</v>
      </c>
    </row>
    <row r="97" customFormat="false" ht="15" hidden="false" customHeight="false" outlineLevel="0" collapsed="false">
      <c r="D97" s="30" t="s">
        <v>275</v>
      </c>
    </row>
    <row r="98" customFormat="false" ht="15" hidden="false" customHeight="false" outlineLevel="0" collapsed="false">
      <c r="D98" s="30" t="s">
        <v>276</v>
      </c>
    </row>
    <row r="99" customFormat="false" ht="15" hidden="false" customHeight="false" outlineLevel="0" collapsed="false">
      <c r="D99" s="30" t="s">
        <v>277</v>
      </c>
    </row>
    <row r="100" customFormat="false" ht="15" hidden="false" customHeight="false" outlineLevel="0" collapsed="false">
      <c r="D100" s="30" t="s">
        <v>278</v>
      </c>
    </row>
    <row r="101" customFormat="false" ht="15" hidden="false" customHeight="false" outlineLevel="0" collapsed="false">
      <c r="D101" s="30" t="s">
        <v>279</v>
      </c>
    </row>
    <row r="102" customFormat="false" ht="15" hidden="false" customHeight="false" outlineLevel="0" collapsed="false">
      <c r="D102" s="30" t="s">
        <v>280</v>
      </c>
    </row>
    <row r="103" customFormat="false" ht="15" hidden="false" customHeight="false" outlineLevel="0" collapsed="false">
      <c r="D103" s="30" t="s">
        <v>281</v>
      </c>
    </row>
    <row r="104" customFormat="false" ht="15" hidden="false" customHeight="false" outlineLevel="0" collapsed="false">
      <c r="D104" s="30" t="s">
        <v>282</v>
      </c>
    </row>
    <row r="105" customFormat="false" ht="15" hidden="false" customHeight="false" outlineLevel="0" collapsed="false">
      <c r="D105" s="30" t="s">
        <v>283</v>
      </c>
    </row>
    <row r="106" customFormat="false" ht="15" hidden="false" customHeight="false" outlineLevel="0" collapsed="false">
      <c r="D106" s="30" t="s">
        <v>284</v>
      </c>
    </row>
    <row r="107" customFormat="false" ht="15" hidden="false" customHeight="false" outlineLevel="0" collapsed="false">
      <c r="D107" s="30" t="s">
        <v>285</v>
      </c>
    </row>
    <row r="108" customFormat="false" ht="15" hidden="false" customHeight="false" outlineLevel="0" collapsed="false">
      <c r="D108" s="30" t="s">
        <v>286</v>
      </c>
    </row>
    <row r="109" customFormat="false" ht="15" hidden="false" customHeight="false" outlineLevel="0" collapsed="false">
      <c r="D109" s="30" t="s">
        <v>287</v>
      </c>
    </row>
    <row r="110" customFormat="false" ht="15" hidden="false" customHeight="false" outlineLevel="0" collapsed="false">
      <c r="D110" s="30" t="s">
        <v>288</v>
      </c>
    </row>
    <row r="111" customFormat="false" ht="15" hidden="false" customHeight="false" outlineLevel="0" collapsed="false">
      <c r="D111" s="30" t="s">
        <v>289</v>
      </c>
    </row>
    <row r="112" customFormat="false" ht="15" hidden="false" customHeight="false" outlineLevel="0" collapsed="false">
      <c r="D112" s="30" t="s">
        <v>290</v>
      </c>
    </row>
    <row r="113" customFormat="false" ht="15" hidden="false" customHeight="false" outlineLevel="0" collapsed="false">
      <c r="D113" s="30" t="s">
        <v>291</v>
      </c>
    </row>
    <row r="114" customFormat="false" ht="15" hidden="false" customHeight="false" outlineLevel="0" collapsed="false">
      <c r="D114" s="30" t="s">
        <v>292</v>
      </c>
    </row>
    <row r="115" customFormat="false" ht="15" hidden="false" customHeight="false" outlineLevel="0" collapsed="false">
      <c r="D115" s="30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26"/>
    <col collapsed="false" customWidth="true" hidden="false" outlineLevel="0" max="7" min="7" style="0" width="22"/>
    <col collapsed="false" customWidth="true" hidden="false" outlineLevel="0" max="9" min="8" style="0" width="24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5" t="s">
        <v>294</v>
      </c>
    </row>
    <row r="2" customFormat="false" ht="15" hidden="false" customHeight="false" outlineLevel="0" collapsed="false">
      <c r="A2" s="31" t="s">
        <v>295</v>
      </c>
    </row>
    <row r="3" customFormat="false" ht="15" hidden="false" customHeight="false" outlineLevel="0" collapsed="false">
      <c r="A3" s="32" t="s">
        <v>296</v>
      </c>
    </row>
    <row r="5" customFormat="false" ht="26.85" hidden="false" customHeight="false" outlineLevel="0" collapsed="false">
      <c r="A5" s="33" t="s">
        <v>297</v>
      </c>
      <c r="B5" s="33" t="s">
        <v>298</v>
      </c>
      <c r="C5" s="33" t="s">
        <v>299</v>
      </c>
      <c r="D5" s="33" t="s">
        <v>300</v>
      </c>
      <c r="E5" s="33" t="s">
        <v>301</v>
      </c>
      <c r="F5" s="33" t="s">
        <v>302</v>
      </c>
      <c r="G5" s="33" t="s">
        <v>303</v>
      </c>
      <c r="H5" s="33" t="s">
        <v>304</v>
      </c>
      <c r="I5" s="33" t="s">
        <v>305</v>
      </c>
      <c r="J5" s="33" t="s">
        <v>306</v>
      </c>
    </row>
    <row r="6" customFormat="false" ht="15" hidden="false" customHeight="false" outlineLevel="0" collapsed="false">
      <c r="A6" s="34" t="s">
        <v>147</v>
      </c>
      <c r="B6" s="34" t="s">
        <v>307</v>
      </c>
      <c r="C6" s="34" t="s">
        <v>149</v>
      </c>
      <c r="D6" s="34" t="s">
        <v>147</v>
      </c>
      <c r="E6" s="34" t="s">
        <v>206</v>
      </c>
      <c r="F6" s="34" t="s">
        <v>174</v>
      </c>
      <c r="G6" s="34" t="s">
        <v>170</v>
      </c>
      <c r="H6" s="34" t="s">
        <v>164</v>
      </c>
      <c r="I6" s="34" t="s">
        <v>186</v>
      </c>
      <c r="J6" s="34" t="s">
        <v>180</v>
      </c>
    </row>
    <row r="7" customFormat="false" ht="15" hidden="false" customHeight="false" outlineLevel="0" collapsed="false">
      <c r="A7" s="34" t="s">
        <v>147</v>
      </c>
      <c r="B7" s="34" t="s">
        <v>308</v>
      </c>
      <c r="C7" s="34" t="s">
        <v>153</v>
      </c>
      <c r="D7" s="34" t="s">
        <v>147</v>
      </c>
      <c r="E7" s="34" t="s">
        <v>206</v>
      </c>
      <c r="F7" s="34" t="s">
        <v>174</v>
      </c>
      <c r="G7" s="34" t="s">
        <v>170</v>
      </c>
      <c r="H7" s="34" t="s">
        <v>164</v>
      </c>
      <c r="I7" s="34" t="s">
        <v>178</v>
      </c>
      <c r="J7" s="34" t="s">
        <v>172</v>
      </c>
    </row>
    <row r="8" customFormat="false" ht="15" hidden="false" customHeight="false" outlineLevel="0" collapsed="false">
      <c r="A8" s="34" t="s">
        <v>147</v>
      </c>
      <c r="B8" s="34" t="s">
        <v>309</v>
      </c>
      <c r="C8" s="34" t="s">
        <v>155</v>
      </c>
      <c r="D8" s="34" t="s">
        <v>147</v>
      </c>
      <c r="E8" s="34" t="s">
        <v>206</v>
      </c>
      <c r="F8" s="34" t="s">
        <v>174</v>
      </c>
      <c r="G8" s="34" t="s">
        <v>170</v>
      </c>
      <c r="H8" s="34" t="s">
        <v>164</v>
      </c>
      <c r="I8" s="34" t="s">
        <v>178</v>
      </c>
      <c r="J8" s="34" t="s">
        <v>180</v>
      </c>
    </row>
    <row r="9" customFormat="false" ht="15" hidden="false" customHeight="false" outlineLevel="0" collapsed="false">
      <c r="A9" s="34" t="s">
        <v>147</v>
      </c>
      <c r="B9" s="34" t="s">
        <v>310</v>
      </c>
      <c r="C9" s="34" t="s">
        <v>158</v>
      </c>
      <c r="D9" s="34" t="s">
        <v>147</v>
      </c>
      <c r="E9" s="34" t="s">
        <v>206</v>
      </c>
      <c r="F9" s="34" t="s">
        <v>174</v>
      </c>
      <c r="G9" s="34" t="s">
        <v>170</v>
      </c>
      <c r="H9" s="34" t="s">
        <v>164</v>
      </c>
      <c r="I9" s="34" t="s">
        <v>178</v>
      </c>
      <c r="J9" s="34" t="s">
        <v>184</v>
      </c>
    </row>
    <row r="10" customFormat="false" ht="15" hidden="false" customHeight="false" outlineLevel="0" collapsed="false">
      <c r="A10" s="34" t="s">
        <v>147</v>
      </c>
      <c r="B10" s="34" t="s">
        <v>311</v>
      </c>
      <c r="C10" s="34" t="s">
        <v>161</v>
      </c>
      <c r="D10" s="34" t="s">
        <v>147</v>
      </c>
      <c r="E10" s="34" t="s">
        <v>206</v>
      </c>
      <c r="F10" s="34" t="s">
        <v>174</v>
      </c>
      <c r="G10" s="34" t="s">
        <v>170</v>
      </c>
      <c r="H10" s="34" t="s">
        <v>164</v>
      </c>
      <c r="I10" s="34" t="s">
        <v>186</v>
      </c>
      <c r="J10" s="34" t="s">
        <v>172</v>
      </c>
    </row>
    <row r="11" customFormat="false" ht="15" hidden="false" customHeight="false" outlineLevel="0" collapsed="false">
      <c r="A11" s="34" t="s">
        <v>147</v>
      </c>
      <c r="B11" s="34" t="s">
        <v>312</v>
      </c>
      <c r="C11" s="34" t="s">
        <v>163</v>
      </c>
      <c r="D11" s="34" t="s">
        <v>147</v>
      </c>
      <c r="E11" s="34" t="s">
        <v>206</v>
      </c>
      <c r="F11" s="34" t="s">
        <v>174</v>
      </c>
      <c r="G11" s="34" t="s">
        <v>170</v>
      </c>
      <c r="H11" s="34" t="s">
        <v>164</v>
      </c>
      <c r="I11" s="34" t="s">
        <v>186</v>
      </c>
      <c r="J11" s="34" t="s">
        <v>184</v>
      </c>
    </row>
    <row r="12" customFormat="false" ht="15" hidden="false" customHeight="false" outlineLevel="0" collapsed="false">
      <c r="A12" s="34" t="s">
        <v>147</v>
      </c>
      <c r="B12" s="34" t="s">
        <v>313</v>
      </c>
      <c r="C12" s="34" t="s">
        <v>165</v>
      </c>
      <c r="D12" s="34" t="s">
        <v>147</v>
      </c>
      <c r="E12" s="34" t="s">
        <v>206</v>
      </c>
      <c r="F12" s="34" t="s">
        <v>174</v>
      </c>
      <c r="G12" s="34" t="s">
        <v>170</v>
      </c>
      <c r="H12" s="34" t="s">
        <v>164</v>
      </c>
      <c r="I12" s="34" t="s">
        <v>314</v>
      </c>
      <c r="J12" s="34" t="s">
        <v>315</v>
      </c>
    </row>
    <row r="13" customFormat="false" ht="15" hidden="false" customHeight="false" outlineLevel="0" collapsed="false">
      <c r="A13" s="10" t="s">
        <v>151</v>
      </c>
      <c r="B13" s="10" t="s">
        <v>307</v>
      </c>
      <c r="C13" s="10" t="s">
        <v>167</v>
      </c>
      <c r="D13" s="10" t="s">
        <v>316</v>
      </c>
      <c r="E13" s="10" t="s">
        <v>190</v>
      </c>
      <c r="F13" s="10" t="s">
        <v>192</v>
      </c>
      <c r="G13" s="10" t="s">
        <v>196</v>
      </c>
      <c r="H13" s="10" t="s">
        <v>204</v>
      </c>
      <c r="I13" s="10" t="s">
        <v>188</v>
      </c>
      <c r="J13" s="35"/>
    </row>
    <row r="14" customFormat="false" ht="15" hidden="false" customHeight="false" outlineLevel="0" collapsed="false">
      <c r="A14" s="10" t="s">
        <v>151</v>
      </c>
      <c r="B14" s="10" t="s">
        <v>308</v>
      </c>
      <c r="C14" s="10" t="s">
        <v>169</v>
      </c>
      <c r="D14" s="10" t="s">
        <v>316</v>
      </c>
      <c r="E14" s="10" t="s">
        <v>190</v>
      </c>
      <c r="F14" s="10" t="s">
        <v>192</v>
      </c>
      <c r="G14" s="10" t="s">
        <v>196</v>
      </c>
      <c r="H14" s="10" t="s">
        <v>204</v>
      </c>
      <c r="I14" s="10" t="s">
        <v>184</v>
      </c>
      <c r="J14" s="35"/>
    </row>
    <row r="15" customFormat="false" ht="15" hidden="false" customHeight="false" outlineLevel="0" collapsed="false">
      <c r="A15" s="10" t="s">
        <v>151</v>
      </c>
      <c r="B15" s="10" t="s">
        <v>309</v>
      </c>
      <c r="C15" s="10" t="s">
        <v>171</v>
      </c>
      <c r="D15" s="10" t="s">
        <v>317</v>
      </c>
      <c r="E15" s="10" t="s">
        <v>186</v>
      </c>
      <c r="F15" s="10" t="s">
        <v>180</v>
      </c>
      <c r="G15" s="10" t="s">
        <v>208</v>
      </c>
      <c r="H15" s="10" t="s">
        <v>172</v>
      </c>
      <c r="I15" s="10" t="s">
        <v>194</v>
      </c>
      <c r="J15" s="35"/>
    </row>
    <row r="16" customFormat="false" ht="15" hidden="false" customHeight="false" outlineLevel="0" collapsed="false">
      <c r="A16" s="10" t="s">
        <v>151</v>
      </c>
      <c r="B16" s="10" t="s">
        <v>310</v>
      </c>
      <c r="C16" s="10" t="s">
        <v>173</v>
      </c>
      <c r="D16" s="10" t="s">
        <v>317</v>
      </c>
      <c r="E16" s="10" t="s">
        <v>190</v>
      </c>
      <c r="F16" s="10" t="s">
        <v>192</v>
      </c>
      <c r="G16" s="10" t="s">
        <v>180</v>
      </c>
      <c r="H16" s="10" t="s">
        <v>202</v>
      </c>
      <c r="I16" s="10" t="s">
        <v>8</v>
      </c>
      <c r="J16" s="35"/>
    </row>
    <row r="17" customFormat="false" ht="15" hidden="false" customHeight="false" outlineLevel="0" collapsed="false">
      <c r="A17" s="10" t="s">
        <v>151</v>
      </c>
      <c r="B17" s="10" t="s">
        <v>311</v>
      </c>
      <c r="C17" s="10" t="s">
        <v>175</v>
      </c>
      <c r="D17" s="10" t="s">
        <v>318</v>
      </c>
      <c r="E17" s="10" t="s">
        <v>180</v>
      </c>
      <c r="F17" s="10" t="s">
        <v>208</v>
      </c>
      <c r="G17" s="10" t="s">
        <v>166</v>
      </c>
      <c r="H17" s="10" t="s">
        <v>200</v>
      </c>
      <c r="I17" s="10" t="s">
        <v>202</v>
      </c>
      <c r="J17" s="35"/>
    </row>
    <row r="18" customFormat="false" ht="15" hidden="false" customHeight="false" outlineLevel="0" collapsed="false">
      <c r="A18" s="10" t="s">
        <v>151</v>
      </c>
      <c r="B18" s="10" t="s">
        <v>312</v>
      </c>
      <c r="C18" s="10" t="s">
        <v>177</v>
      </c>
      <c r="D18" s="10" t="s">
        <v>318</v>
      </c>
      <c r="E18" s="10" t="s">
        <v>190</v>
      </c>
      <c r="F18" s="10" t="s">
        <v>192</v>
      </c>
      <c r="G18" s="10" t="s">
        <v>180</v>
      </c>
      <c r="H18" s="10" t="s">
        <v>166</v>
      </c>
      <c r="I18" s="10" t="s">
        <v>194</v>
      </c>
      <c r="J18" s="35"/>
    </row>
    <row r="19" customFormat="false" ht="15" hidden="false" customHeight="false" outlineLevel="0" collapsed="false">
      <c r="A19" s="10" t="s">
        <v>151</v>
      </c>
      <c r="B19" s="10" t="s">
        <v>319</v>
      </c>
      <c r="C19" s="10" t="s">
        <v>179</v>
      </c>
      <c r="D19" s="10" t="s">
        <v>320</v>
      </c>
      <c r="E19" s="10" t="s">
        <v>190</v>
      </c>
      <c r="F19" s="10" t="s">
        <v>180</v>
      </c>
      <c r="G19" s="10" t="s">
        <v>186</v>
      </c>
      <c r="H19" s="10" t="s">
        <v>164</v>
      </c>
      <c r="I19" s="10" t="s">
        <v>178</v>
      </c>
      <c r="J19" s="35"/>
    </row>
    <row r="20" customFormat="false" ht="15" hidden="false" customHeight="false" outlineLevel="0" collapsed="false">
      <c r="A20" s="34" t="s">
        <v>4</v>
      </c>
      <c r="B20" s="34" t="s">
        <v>307</v>
      </c>
      <c r="C20" s="34" t="s">
        <v>181</v>
      </c>
      <c r="D20" s="34" t="s">
        <v>321</v>
      </c>
      <c r="E20" s="34" t="s">
        <v>172</v>
      </c>
      <c r="F20" s="34" t="s">
        <v>8</v>
      </c>
      <c r="G20" s="34" t="s">
        <v>180</v>
      </c>
      <c r="H20" s="34" t="s">
        <v>194</v>
      </c>
      <c r="I20" s="34" t="s">
        <v>168</v>
      </c>
      <c r="J20" s="36"/>
    </row>
    <row r="21" customFormat="false" ht="15" hidden="false" customHeight="false" outlineLevel="0" collapsed="false">
      <c r="A21" s="34" t="s">
        <v>4</v>
      </c>
      <c r="B21" s="34" t="s">
        <v>308</v>
      </c>
      <c r="C21" s="34" t="s">
        <v>183</v>
      </c>
      <c r="D21" s="34" t="s">
        <v>321</v>
      </c>
      <c r="E21" s="34" t="s">
        <v>172</v>
      </c>
      <c r="F21" s="34" t="s">
        <v>8</v>
      </c>
      <c r="G21" s="34" t="s">
        <v>180</v>
      </c>
      <c r="H21" s="34" t="s">
        <v>194</v>
      </c>
      <c r="I21" s="34" t="s">
        <v>184</v>
      </c>
      <c r="J21" s="36"/>
    </row>
    <row r="22" customFormat="false" ht="15" hidden="false" customHeight="false" outlineLevel="0" collapsed="false">
      <c r="A22" s="34" t="s">
        <v>4</v>
      </c>
      <c r="B22" s="34" t="s">
        <v>309</v>
      </c>
      <c r="C22" s="34" t="s">
        <v>185</v>
      </c>
      <c r="D22" s="34" t="s">
        <v>322</v>
      </c>
      <c r="E22" s="34" t="s">
        <v>172</v>
      </c>
      <c r="F22" s="34" t="s">
        <v>8</v>
      </c>
      <c r="G22" s="34" t="s">
        <v>180</v>
      </c>
      <c r="H22" s="34" t="s">
        <v>164</v>
      </c>
      <c r="I22" s="34" t="s">
        <v>178</v>
      </c>
      <c r="J22" s="36"/>
    </row>
    <row r="23" customFormat="false" ht="15" hidden="false" customHeight="false" outlineLevel="0" collapsed="false">
      <c r="A23" s="34" t="s">
        <v>4</v>
      </c>
      <c r="B23" s="34" t="s">
        <v>310</v>
      </c>
      <c r="C23" s="34" t="s">
        <v>187</v>
      </c>
      <c r="D23" s="34" t="s">
        <v>322</v>
      </c>
      <c r="E23" s="34" t="s">
        <v>172</v>
      </c>
      <c r="F23" s="34" t="s">
        <v>8</v>
      </c>
      <c r="G23" s="34" t="s">
        <v>180</v>
      </c>
      <c r="H23" s="34" t="s">
        <v>164</v>
      </c>
      <c r="I23" s="34" t="s">
        <v>184</v>
      </c>
      <c r="J23" s="36"/>
    </row>
    <row r="24" customFormat="false" ht="15" hidden="false" customHeight="false" outlineLevel="0" collapsed="false">
      <c r="A24" s="34" t="s">
        <v>4</v>
      </c>
      <c r="B24" s="34" t="s">
        <v>311</v>
      </c>
      <c r="C24" s="34" t="s">
        <v>189</v>
      </c>
      <c r="D24" s="34" t="s">
        <v>322</v>
      </c>
      <c r="E24" s="34" t="s">
        <v>172</v>
      </c>
      <c r="F24" s="34" t="s">
        <v>8</v>
      </c>
      <c r="G24" s="34" t="s">
        <v>180</v>
      </c>
      <c r="H24" s="34" t="s">
        <v>164</v>
      </c>
      <c r="I24" s="34" t="s">
        <v>166</v>
      </c>
      <c r="J24" s="36"/>
    </row>
    <row r="25" customFormat="false" ht="15" hidden="false" customHeight="false" outlineLevel="0" collapsed="false">
      <c r="A25" s="10" t="s">
        <v>156</v>
      </c>
      <c r="B25" s="10" t="s">
        <v>307</v>
      </c>
      <c r="C25" s="10" t="s">
        <v>191</v>
      </c>
      <c r="D25" s="10" t="s">
        <v>323</v>
      </c>
      <c r="E25" s="10" t="s">
        <v>198</v>
      </c>
      <c r="F25" s="10" t="s">
        <v>182</v>
      </c>
      <c r="G25" s="10" t="s">
        <v>170</v>
      </c>
      <c r="H25" s="10" t="s">
        <v>166</v>
      </c>
      <c r="I25" s="10" t="s">
        <v>180</v>
      </c>
      <c r="J25" s="35"/>
    </row>
    <row r="26" customFormat="false" ht="15" hidden="false" customHeight="false" outlineLevel="0" collapsed="false">
      <c r="A26" s="10" t="s">
        <v>156</v>
      </c>
      <c r="B26" s="10" t="s">
        <v>308</v>
      </c>
      <c r="C26" s="10" t="s">
        <v>193</v>
      </c>
      <c r="D26" s="10" t="s">
        <v>323</v>
      </c>
      <c r="E26" s="10" t="s">
        <v>198</v>
      </c>
      <c r="F26" s="10" t="s">
        <v>182</v>
      </c>
      <c r="G26" s="10" t="s">
        <v>170</v>
      </c>
      <c r="H26" s="10" t="s">
        <v>166</v>
      </c>
      <c r="I26" s="10" t="s">
        <v>194</v>
      </c>
      <c r="J26" s="35"/>
    </row>
    <row r="27" customFormat="false" ht="15" hidden="false" customHeight="false" outlineLevel="0" collapsed="false">
      <c r="A27" s="10" t="s">
        <v>156</v>
      </c>
      <c r="B27" s="10" t="s">
        <v>309</v>
      </c>
      <c r="C27" s="10" t="s">
        <v>195</v>
      </c>
      <c r="D27" s="10" t="s">
        <v>324</v>
      </c>
      <c r="E27" s="10" t="s">
        <v>198</v>
      </c>
      <c r="F27" s="10" t="s">
        <v>176</v>
      </c>
      <c r="G27" s="10" t="s">
        <v>170</v>
      </c>
      <c r="H27" s="10" t="s">
        <v>166</v>
      </c>
      <c r="I27" s="10" t="s">
        <v>194</v>
      </c>
      <c r="J27" s="35"/>
    </row>
    <row r="28" customFormat="false" ht="15" hidden="false" customHeight="false" outlineLevel="0" collapsed="false">
      <c r="A28" s="10" t="s">
        <v>156</v>
      </c>
      <c r="B28" s="10" t="s">
        <v>310</v>
      </c>
      <c r="C28" s="10" t="s">
        <v>197</v>
      </c>
      <c r="D28" s="10" t="s">
        <v>324</v>
      </c>
      <c r="E28" s="10" t="s">
        <v>198</v>
      </c>
      <c r="F28" s="10" t="s">
        <v>176</v>
      </c>
      <c r="G28" s="10" t="s">
        <v>174</v>
      </c>
      <c r="H28" s="10" t="s">
        <v>184</v>
      </c>
      <c r="I28" s="10" t="s">
        <v>180</v>
      </c>
      <c r="J28" s="35"/>
    </row>
    <row r="29" customFormat="false" ht="15" hidden="false" customHeight="false" outlineLevel="0" collapsed="false">
      <c r="A29" s="10" t="s">
        <v>156</v>
      </c>
      <c r="B29" s="10" t="s">
        <v>311</v>
      </c>
      <c r="C29" s="10" t="s">
        <v>199</v>
      </c>
      <c r="D29" s="10" t="s">
        <v>324</v>
      </c>
      <c r="E29" s="10" t="s">
        <v>198</v>
      </c>
      <c r="F29" s="10" t="s">
        <v>176</v>
      </c>
      <c r="G29" s="10" t="s">
        <v>174</v>
      </c>
      <c r="H29" s="10" t="s">
        <v>166</v>
      </c>
      <c r="I29" s="10" t="s">
        <v>194</v>
      </c>
      <c r="J29" s="35"/>
    </row>
    <row r="30" customFormat="false" ht="15" hidden="false" customHeight="false" outlineLevel="0" collapsed="false">
      <c r="A30" s="10" t="s">
        <v>156</v>
      </c>
      <c r="B30" s="10" t="s">
        <v>312</v>
      </c>
      <c r="C30" s="10" t="s">
        <v>201</v>
      </c>
      <c r="D30" s="10" t="s">
        <v>324</v>
      </c>
      <c r="E30" s="10" t="s">
        <v>198</v>
      </c>
      <c r="F30" s="10" t="s">
        <v>176</v>
      </c>
      <c r="G30" s="10" t="s">
        <v>174</v>
      </c>
      <c r="H30" s="10" t="s">
        <v>166</v>
      </c>
      <c r="I30" s="10" t="s">
        <v>184</v>
      </c>
      <c r="J30" s="35"/>
    </row>
    <row r="31" customFormat="false" ht="15" hidden="false" customHeight="false" outlineLevel="0" collapsed="false">
      <c r="A31" s="10" t="s">
        <v>156</v>
      </c>
      <c r="B31" s="10" t="s">
        <v>319</v>
      </c>
      <c r="C31" s="10" t="s">
        <v>203</v>
      </c>
      <c r="D31" s="10" t="s">
        <v>324</v>
      </c>
      <c r="E31" s="10" t="s">
        <v>198</v>
      </c>
      <c r="F31" s="10" t="s">
        <v>176</v>
      </c>
      <c r="G31" s="10" t="s">
        <v>174</v>
      </c>
      <c r="H31" s="10" t="s">
        <v>166</v>
      </c>
      <c r="I31" s="10" t="s">
        <v>180</v>
      </c>
      <c r="J31" s="35"/>
    </row>
    <row r="32" customFormat="false" ht="15" hidden="false" customHeight="false" outlineLevel="0" collapsed="false">
      <c r="A32" s="10" t="s">
        <v>156</v>
      </c>
      <c r="B32" s="10" t="s">
        <v>325</v>
      </c>
      <c r="C32" s="10" t="s">
        <v>205</v>
      </c>
      <c r="D32" s="10" t="s">
        <v>326</v>
      </c>
      <c r="E32" s="10" t="s">
        <v>198</v>
      </c>
      <c r="F32" s="10" t="s">
        <v>182</v>
      </c>
      <c r="G32" s="10" t="s">
        <v>174</v>
      </c>
      <c r="H32" s="10" t="s">
        <v>184</v>
      </c>
      <c r="I32" s="10" t="s">
        <v>202</v>
      </c>
      <c r="J32" s="35"/>
    </row>
    <row r="33" customFormat="false" ht="15" hidden="false" customHeight="false" outlineLevel="0" collapsed="false">
      <c r="A33" s="10" t="s">
        <v>156</v>
      </c>
      <c r="B33" s="10" t="s">
        <v>327</v>
      </c>
      <c r="C33" s="10" t="s">
        <v>207</v>
      </c>
      <c r="D33" s="10" t="s">
        <v>326</v>
      </c>
      <c r="E33" s="10" t="s">
        <v>198</v>
      </c>
      <c r="F33" s="10" t="s">
        <v>182</v>
      </c>
      <c r="G33" s="10" t="s">
        <v>328</v>
      </c>
      <c r="H33" s="10" t="s">
        <v>329</v>
      </c>
      <c r="I33" s="10" t="s">
        <v>164</v>
      </c>
      <c r="J33" s="10" t="s">
        <v>194</v>
      </c>
    </row>
    <row r="34" customFormat="false" ht="15" hidden="false" customHeight="false" outlineLevel="0" collapsed="false">
      <c r="A34" s="10" t="s">
        <v>156</v>
      </c>
      <c r="B34" s="10" t="s">
        <v>330</v>
      </c>
      <c r="C34" s="10" t="s">
        <v>209</v>
      </c>
      <c r="D34" s="10" t="s">
        <v>326</v>
      </c>
      <c r="E34" s="10" t="s">
        <v>198</v>
      </c>
      <c r="F34" s="10" t="s">
        <v>176</v>
      </c>
      <c r="G34" s="10" t="s">
        <v>328</v>
      </c>
      <c r="H34" s="10" t="s">
        <v>329</v>
      </c>
      <c r="I34" s="10" t="s">
        <v>164</v>
      </c>
      <c r="J34" s="10" t="s">
        <v>194</v>
      </c>
    </row>
    <row r="35" customFormat="false" ht="15" hidden="false" customHeight="false" outlineLevel="0" collapsed="false">
      <c r="A35" s="34" t="s">
        <v>159</v>
      </c>
      <c r="B35" s="34" t="s">
        <v>307</v>
      </c>
      <c r="C35" s="34" t="s">
        <v>210</v>
      </c>
      <c r="D35" s="34" t="s">
        <v>331</v>
      </c>
      <c r="E35" s="34" t="s">
        <v>188</v>
      </c>
      <c r="F35" s="34" t="s">
        <v>196</v>
      </c>
      <c r="G35" s="34" t="s">
        <v>184</v>
      </c>
      <c r="H35" s="34" t="s">
        <v>194</v>
      </c>
      <c r="I35" s="34" t="s">
        <v>204</v>
      </c>
      <c r="J35" s="36"/>
    </row>
    <row r="36" customFormat="false" ht="15" hidden="false" customHeight="false" outlineLevel="0" collapsed="false">
      <c r="A36" s="34" t="s">
        <v>159</v>
      </c>
      <c r="B36" s="34" t="s">
        <v>308</v>
      </c>
      <c r="C36" s="34" t="s">
        <v>211</v>
      </c>
      <c r="D36" s="34" t="s">
        <v>331</v>
      </c>
      <c r="E36" s="34" t="s">
        <v>188</v>
      </c>
      <c r="F36" s="34" t="s">
        <v>196</v>
      </c>
      <c r="G36" s="34" t="s">
        <v>184</v>
      </c>
      <c r="H36" s="34" t="s">
        <v>200</v>
      </c>
      <c r="I36" s="34" t="s">
        <v>194</v>
      </c>
      <c r="J36" s="36"/>
    </row>
    <row r="37" customFormat="false" ht="15" hidden="false" customHeight="false" outlineLevel="0" collapsed="false">
      <c r="A37" s="34" t="s">
        <v>159</v>
      </c>
      <c r="B37" s="34" t="s">
        <v>309</v>
      </c>
      <c r="C37" s="34" t="s">
        <v>212</v>
      </c>
      <c r="D37" s="34" t="s">
        <v>332</v>
      </c>
      <c r="E37" s="34" t="s">
        <v>188</v>
      </c>
      <c r="F37" s="34" t="s">
        <v>196</v>
      </c>
      <c r="G37" s="34" t="s">
        <v>208</v>
      </c>
      <c r="H37" s="34" t="s">
        <v>194</v>
      </c>
      <c r="I37" s="34" t="s">
        <v>204</v>
      </c>
      <c r="J37" s="36"/>
    </row>
    <row r="38" customFormat="false" ht="15" hidden="false" customHeight="false" outlineLevel="0" collapsed="false">
      <c r="A38" s="34" t="s">
        <v>159</v>
      </c>
      <c r="B38" s="34" t="s">
        <v>310</v>
      </c>
      <c r="C38" s="34" t="s">
        <v>213</v>
      </c>
      <c r="D38" s="34" t="s">
        <v>332</v>
      </c>
      <c r="E38" s="34" t="s">
        <v>188</v>
      </c>
      <c r="F38" s="34" t="s">
        <v>196</v>
      </c>
      <c r="G38" s="34" t="s">
        <v>192</v>
      </c>
      <c r="H38" s="34" t="s">
        <v>202</v>
      </c>
      <c r="I38" s="34" t="s">
        <v>204</v>
      </c>
      <c r="J38" s="36"/>
    </row>
    <row r="39" customFormat="false" ht="15" hidden="false" customHeight="false" outlineLevel="0" collapsed="false">
      <c r="A39" s="10" t="s">
        <v>162</v>
      </c>
      <c r="B39" s="10" t="s">
        <v>307</v>
      </c>
      <c r="C39" s="10" t="s">
        <v>214</v>
      </c>
      <c r="D39" s="10" t="s">
        <v>333</v>
      </c>
      <c r="E39" s="10" t="s">
        <v>166</v>
      </c>
      <c r="F39" s="10" t="s">
        <v>168</v>
      </c>
      <c r="G39" s="10" t="s">
        <v>172</v>
      </c>
      <c r="H39" s="10" t="s">
        <v>164</v>
      </c>
      <c r="I39" s="10" t="s">
        <v>184</v>
      </c>
      <c r="J39" s="35"/>
    </row>
    <row r="40" customFormat="false" ht="15" hidden="false" customHeight="false" outlineLevel="0" collapsed="false">
      <c r="A40" s="10" t="s">
        <v>162</v>
      </c>
      <c r="B40" s="10" t="s">
        <v>308</v>
      </c>
      <c r="C40" s="10" t="s">
        <v>215</v>
      </c>
      <c r="D40" s="10" t="s">
        <v>333</v>
      </c>
      <c r="E40" s="10" t="s">
        <v>166</v>
      </c>
      <c r="F40" s="10" t="s">
        <v>168</v>
      </c>
      <c r="G40" s="10" t="s">
        <v>172</v>
      </c>
      <c r="H40" s="10" t="s">
        <v>194</v>
      </c>
      <c r="I40" s="10" t="s">
        <v>202</v>
      </c>
      <c r="J40" s="35"/>
    </row>
    <row r="41" customFormat="false" ht="15" hidden="false" customHeight="false" outlineLevel="0" collapsed="false">
      <c r="A41" s="10" t="s">
        <v>162</v>
      </c>
      <c r="B41" s="10" t="s">
        <v>309</v>
      </c>
      <c r="C41" s="10" t="s">
        <v>216</v>
      </c>
      <c r="D41" s="10" t="s">
        <v>333</v>
      </c>
      <c r="E41" s="10" t="s">
        <v>166</v>
      </c>
      <c r="F41" s="10" t="s">
        <v>168</v>
      </c>
      <c r="G41" s="10" t="s">
        <v>172</v>
      </c>
      <c r="H41" s="10" t="s">
        <v>164</v>
      </c>
      <c r="I41" s="10" t="s">
        <v>178</v>
      </c>
      <c r="J41" s="35"/>
    </row>
    <row r="42" customFormat="false" ht="15" hidden="false" customHeight="false" outlineLevel="0" collapsed="false">
      <c r="A42" s="10" t="s">
        <v>162</v>
      </c>
      <c r="B42" s="10" t="s">
        <v>311</v>
      </c>
      <c r="C42" s="10" t="s">
        <v>217</v>
      </c>
      <c r="D42" s="10" t="s">
        <v>334</v>
      </c>
      <c r="E42" s="10" t="s">
        <v>166</v>
      </c>
      <c r="F42" s="10" t="s">
        <v>168</v>
      </c>
      <c r="G42" s="10" t="s">
        <v>8</v>
      </c>
      <c r="H42" s="10" t="s">
        <v>194</v>
      </c>
      <c r="I42" s="10" t="s">
        <v>202</v>
      </c>
      <c r="J42" s="35"/>
    </row>
    <row r="43" customFormat="false" ht="15" hidden="false" customHeight="false" outlineLevel="0" collapsed="false">
      <c r="A43" s="10" t="s">
        <v>162</v>
      </c>
      <c r="B43" s="10" t="s">
        <v>312</v>
      </c>
      <c r="C43" s="10" t="s">
        <v>218</v>
      </c>
      <c r="D43" s="10" t="s">
        <v>334</v>
      </c>
      <c r="E43" s="10" t="s">
        <v>166</v>
      </c>
      <c r="F43" s="10" t="s">
        <v>168</v>
      </c>
      <c r="G43" s="10" t="s">
        <v>180</v>
      </c>
      <c r="H43" s="10" t="s">
        <v>194</v>
      </c>
      <c r="I43" s="10" t="s">
        <v>202</v>
      </c>
      <c r="J43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2026-10-08T11:46:58Z</dcterms:created>
  <dc:creator>openpyxl</dc:creator>
  <dc:description/>
  <dc:language>en-US</dc:language>
  <cp:lastModifiedBy/>
  <dcterms:modified xsi:type="dcterms:W3CDTF">2026-10-08T11:46:58Z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